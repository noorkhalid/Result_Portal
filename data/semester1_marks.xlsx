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tables/table1.xml" ContentType="application/vnd.openxmlformats-officedocument.spreadsheetml.table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am\Result_Portal\data\"/>
    </mc:Choice>
  </mc:AlternateContent>
  <bookViews>
    <workbookView xWindow="-105" yWindow="-105" windowWidth="23250" windowHeight="13890" tabRatio="922"/>
  </bookViews>
  <sheets>
    <sheet name="sheet 1" sheetId="1" r:id="rId1"/>
    <sheet name="Transcript" sheetId="38" state="hidden" r:id="rId2"/>
    <sheet name="1.5 Transcript" sheetId="44" state="hidden" r:id="rId3"/>
    <sheet name="1.5 Transcript (2)" sheetId="87" state="hidden" r:id="rId4"/>
    <sheet name="19" sheetId="66" state="hidden" r:id="rId5"/>
    <sheet name="06" sheetId="81" state="hidden" r:id="rId6"/>
    <sheet name="67" sheetId="68" state="hidden" r:id="rId7"/>
    <sheet name="112" sheetId="65" state="hidden" r:id="rId8"/>
    <sheet name="35" sheetId="88" state="hidden" r:id="rId9"/>
    <sheet name="135" sheetId="86" state="hidden" r:id="rId10"/>
    <sheet name="123" sheetId="85" state="hidden" r:id="rId11"/>
    <sheet name="29" sheetId="84" state="hidden" r:id="rId12"/>
    <sheet name="17" sheetId="83" state="hidden" r:id="rId13"/>
    <sheet name="3" sheetId="82" state="hidden" r:id="rId14"/>
    <sheet name="54" sheetId="80" state="hidden" r:id="rId15"/>
    <sheet name="30" sheetId="78" state="hidden" r:id="rId16"/>
    <sheet name="01" sheetId="77" state="hidden" r:id="rId17"/>
    <sheet name="44" sheetId="76" state="hidden" r:id="rId18"/>
    <sheet name="116" sheetId="75" state="hidden" r:id="rId19"/>
    <sheet name="11" sheetId="74" state="hidden" r:id="rId20"/>
    <sheet name="13" sheetId="73" state="hidden" r:id="rId21"/>
    <sheet name="70" sheetId="72" state="hidden" r:id="rId22"/>
    <sheet name="28" sheetId="71" state="hidden" r:id="rId23"/>
    <sheet name="95" sheetId="70" state="hidden" r:id="rId24"/>
    <sheet name="7" sheetId="69" state="hidden" r:id="rId25"/>
    <sheet name="64" sheetId="67" state="hidden" r:id="rId26"/>
    <sheet name="79" sheetId="64" state="hidden" r:id="rId27"/>
    <sheet name="62" sheetId="63" state="hidden" r:id="rId28"/>
    <sheet name="84" sheetId="62" state="hidden" r:id="rId29"/>
    <sheet name="63" sheetId="61" state="hidden" r:id="rId30"/>
    <sheet name="26" sheetId="60" state="hidden" r:id="rId31"/>
    <sheet name="140" sheetId="59" state="hidden" r:id="rId32"/>
    <sheet name="139" sheetId="58" state="hidden" r:id="rId33"/>
    <sheet name="27" sheetId="56" state="hidden" r:id="rId34"/>
    <sheet name="N4" sheetId="54" state="hidden" r:id="rId35"/>
    <sheet name="RC 4" sheetId="55" state="hidden" r:id="rId36"/>
    <sheet name="DMC 1st" sheetId="45" state="hidden" r:id="rId37"/>
    <sheet name="DMC 2nd" sheetId="46" state="hidden" r:id="rId38"/>
    <sheet name="DMC 3rd" sheetId="47" state="hidden" r:id="rId39"/>
    <sheet name="DMC 4th" sheetId="48" state="hidden" r:id="rId40"/>
  </sheets>
  <externalReferences>
    <externalReference r:id="rId41"/>
  </externalReferences>
  <definedNames>
    <definedName name="_xlnm.Print_Area" localSheetId="16">'01'!$B$1:$H$46</definedName>
    <definedName name="_xlnm.Print_Area" localSheetId="5">'06'!$B$1:$H$46</definedName>
    <definedName name="_xlnm.Print_Area" localSheetId="2">'1.5 Transcript'!$B$1:$H$46</definedName>
    <definedName name="_xlnm.Print_Area" localSheetId="3">'1.5 Transcript (2)'!$B$1:$H$46</definedName>
    <definedName name="_xlnm.Print_Area" localSheetId="19">'11'!$B$1:$H$46</definedName>
    <definedName name="_xlnm.Print_Area" localSheetId="7">'112'!$B$1:$H$46</definedName>
    <definedName name="_xlnm.Print_Area" localSheetId="18">'116'!$B$1:$H$46</definedName>
    <definedName name="_xlnm.Print_Area" localSheetId="10">'123'!$B$1:$H$46</definedName>
    <definedName name="_xlnm.Print_Area" localSheetId="20">'13'!$B$1:$H$46</definedName>
    <definedName name="_xlnm.Print_Area" localSheetId="9">'135'!$B$1:$H$46</definedName>
    <definedName name="_xlnm.Print_Area" localSheetId="32">'139'!$B$1:$H$46</definedName>
    <definedName name="_xlnm.Print_Area" localSheetId="31">'140'!$B$1:$H$46</definedName>
    <definedName name="_xlnm.Print_Area" localSheetId="12">'17'!$B$1:$H$46</definedName>
    <definedName name="_xlnm.Print_Area" localSheetId="4">'19'!$B$1:$H$46</definedName>
    <definedName name="_xlnm.Print_Area" localSheetId="30">'26'!$B$1:$H$46</definedName>
    <definedName name="_xlnm.Print_Area" localSheetId="33">'27'!$B$1:$H$46</definedName>
    <definedName name="_xlnm.Print_Area" localSheetId="22">'28'!$B$1:$H$46</definedName>
    <definedName name="_xlnm.Print_Area" localSheetId="11">'29'!$B$1:$H$46</definedName>
    <definedName name="_xlnm.Print_Area" localSheetId="13">'3'!$B$1:$H$46</definedName>
    <definedName name="_xlnm.Print_Area" localSheetId="15">'30'!$B$1:$H$46</definedName>
    <definedName name="_xlnm.Print_Area" localSheetId="8">'35'!$B$1:$H$46</definedName>
    <definedName name="_xlnm.Print_Area" localSheetId="17">'44'!$B$1:$H$46</definedName>
    <definedName name="_xlnm.Print_Area" localSheetId="14">'54'!$B$1:$H$46</definedName>
    <definedName name="_xlnm.Print_Area" localSheetId="27">'62'!$B$1:$H$46</definedName>
    <definedName name="_xlnm.Print_Area" localSheetId="29">'63'!$B$1:$H$46</definedName>
    <definedName name="_xlnm.Print_Area" localSheetId="25">'64'!$B$1:$H$46</definedName>
    <definedName name="_xlnm.Print_Area" localSheetId="6">'67'!$B$1:$H$46</definedName>
    <definedName name="_xlnm.Print_Area" localSheetId="24">'7'!$B$1:$H$46</definedName>
    <definedName name="_xlnm.Print_Area" localSheetId="21">'70'!$B$1:$H$46</definedName>
    <definedName name="_xlnm.Print_Area" localSheetId="26">'79'!$B$1:$H$46</definedName>
    <definedName name="_xlnm.Print_Area" localSheetId="28">'84'!$B$1:$H$46</definedName>
    <definedName name="_xlnm.Print_Area" localSheetId="23">'95'!$B$1:$H$46</definedName>
    <definedName name="_xlnm.Print_Area" localSheetId="36">'DMC 1st'!$B$2:$M$28</definedName>
    <definedName name="_xlnm.Print_Area" localSheetId="37">'DMC 2nd'!$B$2:$M$29</definedName>
    <definedName name="_xlnm.Print_Area" localSheetId="38">'DMC 3rd'!$B$2:$M$29</definedName>
    <definedName name="_xlnm.Print_Area" localSheetId="39">'DMC 4th'!$B$2:$M$29</definedName>
    <definedName name="_xlnm.Print_Area" localSheetId="34">'N4'!$B$1:$O$167</definedName>
    <definedName name="_xlnm.Print_Area" localSheetId="1">Transcript!$B$1:$H$49</definedName>
    <definedName name="_xlnm.Print_Titles" localSheetId="34">'N4'!$9:$9</definedName>
    <definedName name="_xlnm.Print_Titles" localSheetId="0">'sheet 1'!$1:$1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44" l="1"/>
  <c r="B13" i="44" l="1"/>
  <c r="B7" i="44" l="1"/>
  <c r="I46" i="88" l="1"/>
  <c r="D42" i="88"/>
  <c r="C36" i="88"/>
  <c r="B35" i="88"/>
  <c r="D34" i="88"/>
  <c r="B34" i="88"/>
  <c r="D33" i="88"/>
  <c r="B33" i="88"/>
  <c r="D32" i="88"/>
  <c r="B32" i="88"/>
  <c r="D31" i="88"/>
  <c r="B31" i="88"/>
  <c r="D30" i="88"/>
  <c r="C37" i="88" s="1"/>
  <c r="B30" i="88"/>
  <c r="D26" i="88"/>
  <c r="B26" i="88"/>
  <c r="D25" i="88"/>
  <c r="B25" i="88"/>
  <c r="D24" i="88"/>
  <c r="B24" i="88"/>
  <c r="D23" i="88"/>
  <c r="B23" i="88"/>
  <c r="D22" i="88"/>
  <c r="B22" i="88"/>
  <c r="D21" i="88"/>
  <c r="C28" i="88" s="1"/>
  <c r="B21" i="88"/>
  <c r="D17" i="88"/>
  <c r="C17" i="88"/>
  <c r="B17" i="88"/>
  <c r="D16" i="88"/>
  <c r="C16" i="88"/>
  <c r="B16" i="88"/>
  <c r="D15" i="88"/>
  <c r="C15" i="88"/>
  <c r="B15" i="88"/>
  <c r="D14" i="88"/>
  <c r="C18" i="88" s="1"/>
  <c r="C14" i="88"/>
  <c r="B14" i="88"/>
  <c r="D13" i="88"/>
  <c r="C13" i="88"/>
  <c r="B13" i="88"/>
  <c r="D12" i="88"/>
  <c r="C19" i="88" s="1"/>
  <c r="C12" i="88"/>
  <c r="B12" i="88"/>
  <c r="B7" i="88"/>
  <c r="E6" i="88"/>
  <c r="B6" i="88"/>
  <c r="I2" i="88"/>
  <c r="I46" i="87"/>
  <c r="D42" i="87"/>
  <c r="B35" i="87"/>
  <c r="D34" i="87"/>
  <c r="B34" i="87"/>
  <c r="D33" i="87"/>
  <c r="B33" i="87"/>
  <c r="D32" i="87"/>
  <c r="B32" i="87"/>
  <c r="D31" i="87"/>
  <c r="B31" i="87"/>
  <c r="D30" i="87"/>
  <c r="C37" i="87" s="1"/>
  <c r="B30" i="87"/>
  <c r="D26" i="87"/>
  <c r="B26" i="87"/>
  <c r="D25" i="87"/>
  <c r="B25" i="87"/>
  <c r="D24" i="87"/>
  <c r="B24" i="87"/>
  <c r="D23" i="87"/>
  <c r="B23" i="87"/>
  <c r="D22" i="87"/>
  <c r="B22" i="87"/>
  <c r="D21" i="87"/>
  <c r="C27" i="87" s="1"/>
  <c r="B21" i="87"/>
  <c r="D17" i="87"/>
  <c r="C17" i="87"/>
  <c r="B17" i="87"/>
  <c r="D16" i="87"/>
  <c r="C16" i="87"/>
  <c r="B16" i="87"/>
  <c r="D15" i="87"/>
  <c r="C15" i="87"/>
  <c r="B15" i="87"/>
  <c r="D14" i="87"/>
  <c r="C14" i="87"/>
  <c r="B14" i="87"/>
  <c r="D13" i="87"/>
  <c r="C13" i="87"/>
  <c r="B13" i="87"/>
  <c r="D12" i="87"/>
  <c r="C19" i="87" s="1"/>
  <c r="C12" i="87"/>
  <c r="B12" i="87"/>
  <c r="B7" i="87"/>
  <c r="E6" i="87"/>
  <c r="B6" i="87"/>
  <c r="I2" i="87"/>
  <c r="I46" i="86"/>
  <c r="D42" i="86"/>
  <c r="B35" i="86"/>
  <c r="D34" i="86"/>
  <c r="B34" i="86"/>
  <c r="D33" i="86"/>
  <c r="B33" i="86"/>
  <c r="D32" i="86"/>
  <c r="B32" i="86"/>
  <c r="D31" i="86"/>
  <c r="B31" i="86"/>
  <c r="D30" i="86"/>
  <c r="C37" i="86" s="1"/>
  <c r="B30" i="86"/>
  <c r="D26" i="86"/>
  <c r="B26" i="86"/>
  <c r="D25" i="86"/>
  <c r="B25" i="86"/>
  <c r="D24" i="86"/>
  <c r="B24" i="86"/>
  <c r="D23" i="86"/>
  <c r="B23" i="86"/>
  <c r="D22" i="86"/>
  <c r="B22" i="86"/>
  <c r="D21" i="86"/>
  <c r="C28" i="86" s="1"/>
  <c r="B21" i="86"/>
  <c r="D17" i="86"/>
  <c r="C17" i="86"/>
  <c r="B17" i="86"/>
  <c r="D16" i="86"/>
  <c r="C16" i="86"/>
  <c r="B16" i="86"/>
  <c r="D15" i="86"/>
  <c r="C15" i="86"/>
  <c r="B15" i="86"/>
  <c r="D14" i="86"/>
  <c r="C14" i="86"/>
  <c r="B14" i="86"/>
  <c r="D13" i="86"/>
  <c r="C13" i="86"/>
  <c r="B13" i="86"/>
  <c r="D12" i="86"/>
  <c r="C19" i="86" s="1"/>
  <c r="C12" i="86"/>
  <c r="B12" i="86"/>
  <c r="B7" i="86"/>
  <c r="E6" i="86"/>
  <c r="B6" i="86"/>
  <c r="I2" i="86"/>
  <c r="I46" i="85"/>
  <c r="D42" i="85"/>
  <c r="B35" i="85"/>
  <c r="D34" i="85"/>
  <c r="B34" i="85"/>
  <c r="D33" i="85"/>
  <c r="B33" i="85"/>
  <c r="D32" i="85"/>
  <c r="B32" i="85"/>
  <c r="D31" i="85"/>
  <c r="B31" i="85"/>
  <c r="D30" i="85"/>
  <c r="C37" i="85" s="1"/>
  <c r="B30" i="85"/>
  <c r="D26" i="85"/>
  <c r="B26" i="85"/>
  <c r="D25" i="85"/>
  <c r="B25" i="85"/>
  <c r="D24" i="85"/>
  <c r="B24" i="85"/>
  <c r="D23" i="85"/>
  <c r="B23" i="85"/>
  <c r="D22" i="85"/>
  <c r="C28" i="85" s="1"/>
  <c r="B22" i="85"/>
  <c r="D21" i="85"/>
  <c r="C27" i="85" s="1"/>
  <c r="B21" i="85"/>
  <c r="D17" i="85"/>
  <c r="C17" i="85"/>
  <c r="B17" i="85"/>
  <c r="D16" i="85"/>
  <c r="C16" i="85"/>
  <c r="B16" i="85"/>
  <c r="D15" i="85"/>
  <c r="C15" i="85"/>
  <c r="B15" i="85"/>
  <c r="D14" i="85"/>
  <c r="C14" i="85"/>
  <c r="B14" i="85"/>
  <c r="D13" i="85"/>
  <c r="C13" i="85"/>
  <c r="B13" i="85"/>
  <c r="D12" i="85"/>
  <c r="C19" i="85" s="1"/>
  <c r="C12" i="85"/>
  <c r="B12" i="85"/>
  <c r="B7" i="85"/>
  <c r="E6" i="85"/>
  <c r="B6" i="85"/>
  <c r="I2" i="85"/>
  <c r="I46" i="84"/>
  <c r="D42" i="84"/>
  <c r="B35" i="84"/>
  <c r="D34" i="84"/>
  <c r="B34" i="84"/>
  <c r="D33" i="84"/>
  <c r="B33" i="84"/>
  <c r="D32" i="84"/>
  <c r="B32" i="84"/>
  <c r="D31" i="84"/>
  <c r="B31" i="84"/>
  <c r="D30" i="84"/>
  <c r="C36" i="84" s="1"/>
  <c r="B30" i="84"/>
  <c r="D26" i="84"/>
  <c r="B26" i="84"/>
  <c r="D25" i="84"/>
  <c r="B25" i="84"/>
  <c r="D24" i="84"/>
  <c r="B24" i="84"/>
  <c r="D23" i="84"/>
  <c r="B23" i="84"/>
  <c r="D22" i="84"/>
  <c r="B22" i="84"/>
  <c r="D21" i="84"/>
  <c r="C27" i="84" s="1"/>
  <c r="B21" i="84"/>
  <c r="D17" i="84"/>
  <c r="C17" i="84"/>
  <c r="B17" i="84"/>
  <c r="D16" i="84"/>
  <c r="C16" i="84"/>
  <c r="B16" i="84"/>
  <c r="D15" i="84"/>
  <c r="C15" i="84"/>
  <c r="B15" i="84"/>
  <c r="D14" i="84"/>
  <c r="C14" i="84"/>
  <c r="B14" i="84"/>
  <c r="D13" i="84"/>
  <c r="C13" i="84"/>
  <c r="B13" i="84"/>
  <c r="D12" i="84"/>
  <c r="C19" i="84" s="1"/>
  <c r="C12" i="84"/>
  <c r="B12" i="84"/>
  <c r="B7" i="84"/>
  <c r="E6" i="84"/>
  <c r="B6" i="84"/>
  <c r="I2" i="84"/>
  <c r="I46" i="83"/>
  <c r="D42" i="83"/>
  <c r="B35" i="83"/>
  <c r="D34" i="83"/>
  <c r="B34" i="83"/>
  <c r="D33" i="83"/>
  <c r="B33" i="83"/>
  <c r="D32" i="83"/>
  <c r="B32" i="83"/>
  <c r="D31" i="83"/>
  <c r="B31" i="83"/>
  <c r="D30" i="83"/>
  <c r="C37" i="83" s="1"/>
  <c r="B30" i="83"/>
  <c r="D26" i="83"/>
  <c r="B26" i="83"/>
  <c r="D25" i="83"/>
  <c r="B25" i="83"/>
  <c r="D24" i="83"/>
  <c r="B24" i="83"/>
  <c r="D23" i="83"/>
  <c r="B23" i="83"/>
  <c r="D22" i="83"/>
  <c r="B22" i="83"/>
  <c r="D21" i="83"/>
  <c r="C27" i="83" s="1"/>
  <c r="B21" i="83"/>
  <c r="D17" i="83"/>
  <c r="C17" i="83"/>
  <c r="B17" i="83"/>
  <c r="D16" i="83"/>
  <c r="C16" i="83"/>
  <c r="B16" i="83"/>
  <c r="D15" i="83"/>
  <c r="C15" i="83"/>
  <c r="B15" i="83"/>
  <c r="D14" i="83"/>
  <c r="C14" i="83"/>
  <c r="B14" i="83"/>
  <c r="D13" i="83"/>
  <c r="C13" i="83"/>
  <c r="B13" i="83"/>
  <c r="D12" i="83"/>
  <c r="C18" i="83" s="1"/>
  <c r="C12" i="83"/>
  <c r="B12" i="83"/>
  <c r="B7" i="83"/>
  <c r="E6" i="83"/>
  <c r="B6" i="83"/>
  <c r="I2" i="83"/>
  <c r="I46" i="82"/>
  <c r="D42" i="82"/>
  <c r="B35" i="82"/>
  <c r="D34" i="82"/>
  <c r="B34" i="82"/>
  <c r="D33" i="82"/>
  <c r="B33" i="82"/>
  <c r="D32" i="82"/>
  <c r="B32" i="82"/>
  <c r="D31" i="82"/>
  <c r="B31" i="82"/>
  <c r="D30" i="82"/>
  <c r="C36" i="82" s="1"/>
  <c r="B30" i="82"/>
  <c r="D26" i="82"/>
  <c r="B26" i="82"/>
  <c r="D25" i="82"/>
  <c r="B25" i="82"/>
  <c r="D24" i="82"/>
  <c r="B24" i="82"/>
  <c r="D23" i="82"/>
  <c r="B23" i="82"/>
  <c r="D22" i="82"/>
  <c r="B22" i="82"/>
  <c r="D21" i="82"/>
  <c r="C27" i="82" s="1"/>
  <c r="B21" i="82"/>
  <c r="D17" i="82"/>
  <c r="C17" i="82"/>
  <c r="B17" i="82"/>
  <c r="D16" i="82"/>
  <c r="C16" i="82"/>
  <c r="B16" i="82"/>
  <c r="D15" i="82"/>
  <c r="C15" i="82"/>
  <c r="B15" i="82"/>
  <c r="D14" i="82"/>
  <c r="C14" i="82"/>
  <c r="B14" i="82"/>
  <c r="D13" i="82"/>
  <c r="C13" i="82"/>
  <c r="B13" i="82"/>
  <c r="D12" i="82"/>
  <c r="C19" i="82" s="1"/>
  <c r="C12" i="82"/>
  <c r="B12" i="82"/>
  <c r="B7" i="82"/>
  <c r="E6" i="82"/>
  <c r="B6" i="82"/>
  <c r="I2" i="82"/>
  <c r="I46" i="81"/>
  <c r="D42" i="81"/>
  <c r="B35" i="81"/>
  <c r="D34" i="81"/>
  <c r="B34" i="81"/>
  <c r="D33" i="81"/>
  <c r="B33" i="81"/>
  <c r="D32" i="81"/>
  <c r="B32" i="81"/>
  <c r="D31" i="81"/>
  <c r="B31" i="81"/>
  <c r="D30" i="81"/>
  <c r="C37" i="81" s="1"/>
  <c r="B30" i="81"/>
  <c r="D26" i="81"/>
  <c r="B26" i="81"/>
  <c r="D25" i="81"/>
  <c r="B25" i="81"/>
  <c r="D24" i="81"/>
  <c r="B24" i="81"/>
  <c r="D23" i="81"/>
  <c r="B23" i="81"/>
  <c r="D22" i="81"/>
  <c r="B22" i="81"/>
  <c r="D21" i="81"/>
  <c r="C27" i="81" s="1"/>
  <c r="B21" i="81"/>
  <c r="D17" i="81"/>
  <c r="C17" i="81"/>
  <c r="B17" i="81"/>
  <c r="D16" i="81"/>
  <c r="C16" i="81"/>
  <c r="B16" i="81"/>
  <c r="D15" i="81"/>
  <c r="C15" i="81"/>
  <c r="B15" i="81"/>
  <c r="D14" i="81"/>
  <c r="C14" i="81"/>
  <c r="B14" i="81"/>
  <c r="D13" i="81"/>
  <c r="C13" i="81"/>
  <c r="B13" i="81"/>
  <c r="D12" i="81"/>
  <c r="C19" i="81" s="1"/>
  <c r="C12" i="81"/>
  <c r="B12" i="81"/>
  <c r="B7" i="81"/>
  <c r="E6" i="81"/>
  <c r="B6" i="81"/>
  <c r="I2" i="81"/>
  <c r="I46" i="80"/>
  <c r="D42" i="80"/>
  <c r="B35" i="80"/>
  <c r="D34" i="80"/>
  <c r="B34" i="80"/>
  <c r="D33" i="80"/>
  <c r="B33" i="80"/>
  <c r="D32" i="80"/>
  <c r="B32" i="80"/>
  <c r="D31" i="80"/>
  <c r="B31" i="80"/>
  <c r="D30" i="80"/>
  <c r="C37" i="80" s="1"/>
  <c r="B30" i="80"/>
  <c r="D26" i="80"/>
  <c r="B26" i="80"/>
  <c r="D25" i="80"/>
  <c r="B25" i="80"/>
  <c r="D24" i="80"/>
  <c r="B24" i="80"/>
  <c r="D23" i="80"/>
  <c r="B23" i="80"/>
  <c r="D22" i="80"/>
  <c r="B22" i="80"/>
  <c r="D21" i="80"/>
  <c r="C27" i="80" s="1"/>
  <c r="B21" i="80"/>
  <c r="D17" i="80"/>
  <c r="C17" i="80"/>
  <c r="B17" i="80"/>
  <c r="D16" i="80"/>
  <c r="C16" i="80"/>
  <c r="B16" i="80"/>
  <c r="D15" i="80"/>
  <c r="C15" i="80"/>
  <c r="B15" i="80"/>
  <c r="D14" i="80"/>
  <c r="C14" i="80"/>
  <c r="B14" i="80"/>
  <c r="D13" i="80"/>
  <c r="C13" i="80"/>
  <c r="B13" i="80"/>
  <c r="D12" i="80"/>
  <c r="C19" i="80" s="1"/>
  <c r="C12" i="80"/>
  <c r="B12" i="80"/>
  <c r="B7" i="80"/>
  <c r="E6" i="80"/>
  <c r="B6" i="80"/>
  <c r="I2" i="80"/>
  <c r="I46" i="78"/>
  <c r="D42" i="78"/>
  <c r="B35" i="78"/>
  <c r="D34" i="78"/>
  <c r="B34" i="78"/>
  <c r="D33" i="78"/>
  <c r="B33" i="78"/>
  <c r="D32" i="78"/>
  <c r="B32" i="78"/>
  <c r="D31" i="78"/>
  <c r="B31" i="78"/>
  <c r="D30" i="78"/>
  <c r="C37" i="78" s="1"/>
  <c r="B30" i="78"/>
  <c r="D26" i="78"/>
  <c r="B26" i="78"/>
  <c r="D25" i="78"/>
  <c r="B25" i="78"/>
  <c r="D24" i="78"/>
  <c r="B24" i="78"/>
  <c r="D23" i="78"/>
  <c r="B23" i="78"/>
  <c r="D22" i="78"/>
  <c r="B22" i="78"/>
  <c r="D21" i="78"/>
  <c r="C27" i="78" s="1"/>
  <c r="B21" i="78"/>
  <c r="D17" i="78"/>
  <c r="C17" i="78"/>
  <c r="B17" i="78"/>
  <c r="D16" i="78"/>
  <c r="C16" i="78"/>
  <c r="B16" i="78"/>
  <c r="D15" i="78"/>
  <c r="C15" i="78"/>
  <c r="B15" i="78"/>
  <c r="D14" i="78"/>
  <c r="C14" i="78"/>
  <c r="B14" i="78"/>
  <c r="D13" i="78"/>
  <c r="C13" i="78"/>
  <c r="B13" i="78"/>
  <c r="D12" i="78"/>
  <c r="C19" i="78" s="1"/>
  <c r="C12" i="78"/>
  <c r="B12" i="78"/>
  <c r="B7" i="78"/>
  <c r="E6" i="78"/>
  <c r="B6" i="78"/>
  <c r="I2" i="78"/>
  <c r="I46" i="77"/>
  <c r="D42" i="77"/>
  <c r="B35" i="77"/>
  <c r="D34" i="77"/>
  <c r="B34" i="77"/>
  <c r="D33" i="77"/>
  <c r="B33" i="77"/>
  <c r="D32" i="77"/>
  <c r="B32" i="77"/>
  <c r="D31" i="77"/>
  <c r="B31" i="77"/>
  <c r="D30" i="77"/>
  <c r="C36" i="77" s="1"/>
  <c r="B30" i="77"/>
  <c r="D26" i="77"/>
  <c r="B26" i="77"/>
  <c r="D25" i="77"/>
  <c r="B25" i="77"/>
  <c r="D24" i="77"/>
  <c r="B24" i="77"/>
  <c r="D23" i="77"/>
  <c r="B23" i="77"/>
  <c r="D22" i="77"/>
  <c r="B22" i="77"/>
  <c r="D21" i="77"/>
  <c r="C27" i="77" s="1"/>
  <c r="B21" i="77"/>
  <c r="D17" i="77"/>
  <c r="C17" i="77"/>
  <c r="B17" i="77"/>
  <c r="D16" i="77"/>
  <c r="C16" i="77"/>
  <c r="B16" i="77"/>
  <c r="D15" i="77"/>
  <c r="C15" i="77"/>
  <c r="B15" i="77"/>
  <c r="D14" i="77"/>
  <c r="C14" i="77"/>
  <c r="B14" i="77"/>
  <c r="D13" i="77"/>
  <c r="C13" i="77"/>
  <c r="B13" i="77"/>
  <c r="D12" i="77"/>
  <c r="C19" i="77" s="1"/>
  <c r="C12" i="77"/>
  <c r="B12" i="77"/>
  <c r="B7" i="77"/>
  <c r="E6" i="77"/>
  <c r="B6" i="77"/>
  <c r="I2" i="77"/>
  <c r="I46" i="76"/>
  <c r="D42" i="76"/>
  <c r="B35" i="76"/>
  <c r="D34" i="76"/>
  <c r="B34" i="76"/>
  <c r="D33" i="76"/>
  <c r="B33" i="76"/>
  <c r="D32" i="76"/>
  <c r="B32" i="76"/>
  <c r="D31" i="76"/>
  <c r="C37" i="76" s="1"/>
  <c r="B31" i="76"/>
  <c r="D30" i="76"/>
  <c r="C36" i="76" s="1"/>
  <c r="B30" i="76"/>
  <c r="D26" i="76"/>
  <c r="B26" i="76"/>
  <c r="D25" i="76"/>
  <c r="B25" i="76"/>
  <c r="D24" i="76"/>
  <c r="B24" i="76"/>
  <c r="D23" i="76"/>
  <c r="B23" i="76"/>
  <c r="D22" i="76"/>
  <c r="B22" i="76"/>
  <c r="D21" i="76"/>
  <c r="C28" i="76" s="1"/>
  <c r="B21" i="76"/>
  <c r="D17" i="76"/>
  <c r="C17" i="76"/>
  <c r="B17" i="76"/>
  <c r="D16" i="76"/>
  <c r="C16" i="76"/>
  <c r="B16" i="76"/>
  <c r="D15" i="76"/>
  <c r="C15" i="76"/>
  <c r="B15" i="76"/>
  <c r="D14" i="76"/>
  <c r="C14" i="76"/>
  <c r="B14" i="76"/>
  <c r="D13" i="76"/>
  <c r="C13" i="76"/>
  <c r="B13" i="76"/>
  <c r="D12" i="76"/>
  <c r="C19" i="76" s="1"/>
  <c r="C12" i="76"/>
  <c r="B12" i="76"/>
  <c r="B7" i="76"/>
  <c r="E6" i="76"/>
  <c r="B6" i="76"/>
  <c r="I2" i="76"/>
  <c r="I46" i="75"/>
  <c r="D42" i="75"/>
  <c r="B35" i="75"/>
  <c r="D34" i="75"/>
  <c r="B34" i="75"/>
  <c r="D33" i="75"/>
  <c r="B33" i="75"/>
  <c r="D32" i="75"/>
  <c r="B32" i="75"/>
  <c r="D31" i="75"/>
  <c r="B31" i="75"/>
  <c r="D30" i="75"/>
  <c r="C36" i="75" s="1"/>
  <c r="B30" i="75"/>
  <c r="D26" i="75"/>
  <c r="B26" i="75"/>
  <c r="D25" i="75"/>
  <c r="B25" i="75"/>
  <c r="D24" i="75"/>
  <c r="B24" i="75"/>
  <c r="D23" i="75"/>
  <c r="B23" i="75"/>
  <c r="D22" i="75"/>
  <c r="B22" i="75"/>
  <c r="D21" i="75"/>
  <c r="C28" i="75" s="1"/>
  <c r="B21" i="75"/>
  <c r="D17" i="75"/>
  <c r="C17" i="75"/>
  <c r="B17" i="75"/>
  <c r="D16" i="75"/>
  <c r="C16" i="75"/>
  <c r="B16" i="75"/>
  <c r="D15" i="75"/>
  <c r="C15" i="75"/>
  <c r="B15" i="75"/>
  <c r="D14" i="75"/>
  <c r="C14" i="75"/>
  <c r="B14" i="75"/>
  <c r="D13" i="75"/>
  <c r="C13" i="75"/>
  <c r="B13" i="75"/>
  <c r="D12" i="75"/>
  <c r="C19" i="75" s="1"/>
  <c r="C12" i="75"/>
  <c r="B12" i="75"/>
  <c r="B7" i="75"/>
  <c r="E6" i="75"/>
  <c r="B6" i="75"/>
  <c r="I2" i="75"/>
  <c r="I46" i="74"/>
  <c r="D42" i="74"/>
  <c r="B35" i="74"/>
  <c r="D34" i="74"/>
  <c r="B34" i="74"/>
  <c r="D33" i="74"/>
  <c r="B33" i="74"/>
  <c r="D32" i="74"/>
  <c r="B32" i="74"/>
  <c r="D31" i="74"/>
  <c r="B31" i="74"/>
  <c r="D30" i="74"/>
  <c r="B30" i="74"/>
  <c r="D26" i="74"/>
  <c r="B26" i="74"/>
  <c r="D25" i="74"/>
  <c r="B25" i="74"/>
  <c r="D24" i="74"/>
  <c r="B24" i="74"/>
  <c r="D23" i="74"/>
  <c r="B23" i="74"/>
  <c r="D22" i="74"/>
  <c r="B22" i="74"/>
  <c r="D21" i="74"/>
  <c r="C28" i="74" s="1"/>
  <c r="B21" i="74"/>
  <c r="D17" i="74"/>
  <c r="C17" i="74"/>
  <c r="B17" i="74"/>
  <c r="D16" i="74"/>
  <c r="C16" i="74"/>
  <c r="B16" i="74"/>
  <c r="D15" i="74"/>
  <c r="C15" i="74"/>
  <c r="B15" i="74"/>
  <c r="D14" i="74"/>
  <c r="C14" i="74"/>
  <c r="B14" i="74"/>
  <c r="D13" i="74"/>
  <c r="C13" i="74"/>
  <c r="B13" i="74"/>
  <c r="D12" i="74"/>
  <c r="C19" i="74" s="1"/>
  <c r="C12" i="74"/>
  <c r="B12" i="74"/>
  <c r="B7" i="74"/>
  <c r="E6" i="74"/>
  <c r="B6" i="74"/>
  <c r="I2" i="74"/>
  <c r="I46" i="73"/>
  <c r="D42" i="73"/>
  <c r="B35" i="73"/>
  <c r="D34" i="73"/>
  <c r="B34" i="73"/>
  <c r="D33" i="73"/>
  <c r="B33" i="73"/>
  <c r="D32" i="73"/>
  <c r="B32" i="73"/>
  <c r="D31" i="73"/>
  <c r="B31" i="73"/>
  <c r="D30" i="73"/>
  <c r="B30" i="73"/>
  <c r="D26" i="73"/>
  <c r="B26" i="73"/>
  <c r="D25" i="73"/>
  <c r="B25" i="73"/>
  <c r="D24" i="73"/>
  <c r="B24" i="73"/>
  <c r="D23" i="73"/>
  <c r="B23" i="73"/>
  <c r="D22" i="73"/>
  <c r="B22" i="73"/>
  <c r="D21" i="73"/>
  <c r="C27" i="73" s="1"/>
  <c r="B21" i="73"/>
  <c r="D17" i="73"/>
  <c r="C17" i="73"/>
  <c r="B17" i="73"/>
  <c r="D16" i="73"/>
  <c r="C16" i="73"/>
  <c r="B16" i="73"/>
  <c r="D15" i="73"/>
  <c r="C15" i="73"/>
  <c r="B15" i="73"/>
  <c r="D14" i="73"/>
  <c r="C14" i="73"/>
  <c r="B14" i="73"/>
  <c r="D13" i="73"/>
  <c r="C13" i="73"/>
  <c r="B13" i="73"/>
  <c r="D12" i="73"/>
  <c r="C19" i="73" s="1"/>
  <c r="C12" i="73"/>
  <c r="B12" i="73"/>
  <c r="B7" i="73"/>
  <c r="E6" i="73"/>
  <c r="B6" i="73"/>
  <c r="I2" i="73"/>
  <c r="I46" i="72"/>
  <c r="D42" i="72"/>
  <c r="B35" i="72"/>
  <c r="D34" i="72"/>
  <c r="B34" i="72"/>
  <c r="D33" i="72"/>
  <c r="B33" i="72"/>
  <c r="D32" i="72"/>
  <c r="B32" i="72"/>
  <c r="D31" i="72"/>
  <c r="B31" i="72"/>
  <c r="D30" i="72"/>
  <c r="C37" i="72" s="1"/>
  <c r="B30" i="72"/>
  <c r="D26" i="72"/>
  <c r="B26" i="72"/>
  <c r="D25" i="72"/>
  <c r="B25" i="72"/>
  <c r="D24" i="72"/>
  <c r="B24" i="72"/>
  <c r="D23" i="72"/>
  <c r="B23" i="72"/>
  <c r="D22" i="72"/>
  <c r="B22" i="72"/>
  <c r="D21" i="72"/>
  <c r="C28" i="72" s="1"/>
  <c r="B21" i="72"/>
  <c r="D17" i="72"/>
  <c r="C17" i="72"/>
  <c r="B17" i="72"/>
  <c r="D16" i="72"/>
  <c r="C16" i="72"/>
  <c r="B16" i="72"/>
  <c r="D15" i="72"/>
  <c r="C15" i="72"/>
  <c r="B15" i="72"/>
  <c r="D14" i="72"/>
  <c r="C14" i="72"/>
  <c r="B14" i="72"/>
  <c r="D13" i="72"/>
  <c r="C13" i="72"/>
  <c r="B13" i="72"/>
  <c r="D12" i="72"/>
  <c r="C19" i="72" s="1"/>
  <c r="C12" i="72"/>
  <c r="B12" i="72"/>
  <c r="B7" i="72"/>
  <c r="E6" i="72"/>
  <c r="B6" i="72"/>
  <c r="I2" i="72"/>
  <c r="I46" i="71"/>
  <c r="D42" i="71"/>
  <c r="B35" i="71"/>
  <c r="D34" i="71"/>
  <c r="B34" i="71"/>
  <c r="D33" i="71"/>
  <c r="B33" i="71"/>
  <c r="D32" i="71"/>
  <c r="B32" i="71"/>
  <c r="D31" i="71"/>
  <c r="C37" i="71" s="1"/>
  <c r="B31" i="71"/>
  <c r="D30" i="71"/>
  <c r="C36" i="71" s="1"/>
  <c r="B30" i="71"/>
  <c r="D26" i="71"/>
  <c r="B26" i="71"/>
  <c r="D25" i="71"/>
  <c r="B25" i="71"/>
  <c r="D24" i="71"/>
  <c r="B24" i="71"/>
  <c r="D23" i="71"/>
  <c r="B23" i="71"/>
  <c r="D22" i="71"/>
  <c r="B22" i="71"/>
  <c r="D21" i="71"/>
  <c r="C28" i="71" s="1"/>
  <c r="B21" i="71"/>
  <c r="D17" i="71"/>
  <c r="C17" i="71"/>
  <c r="B17" i="71"/>
  <c r="D16" i="71"/>
  <c r="C16" i="71"/>
  <c r="B16" i="71"/>
  <c r="D15" i="71"/>
  <c r="C15" i="71"/>
  <c r="B15" i="71"/>
  <c r="D14" i="71"/>
  <c r="C14" i="71"/>
  <c r="B14" i="71"/>
  <c r="D13" i="71"/>
  <c r="C13" i="71"/>
  <c r="B13" i="71"/>
  <c r="D12" i="71"/>
  <c r="C19" i="71" s="1"/>
  <c r="C12" i="71"/>
  <c r="B12" i="71"/>
  <c r="B7" i="71"/>
  <c r="E6" i="71"/>
  <c r="B6" i="71"/>
  <c r="I2" i="71"/>
  <c r="I46" i="70"/>
  <c r="D42" i="70"/>
  <c r="C36" i="70"/>
  <c r="B35" i="70"/>
  <c r="D34" i="70"/>
  <c r="B34" i="70"/>
  <c r="D33" i="70"/>
  <c r="B33" i="70"/>
  <c r="D32" i="70"/>
  <c r="B32" i="70"/>
  <c r="D31" i="70"/>
  <c r="C37" i="70" s="1"/>
  <c r="B31" i="70"/>
  <c r="D30" i="70"/>
  <c r="B30" i="70"/>
  <c r="D26" i="70"/>
  <c r="B26" i="70"/>
  <c r="D25" i="70"/>
  <c r="B25" i="70"/>
  <c r="D24" i="70"/>
  <c r="B24" i="70"/>
  <c r="D23" i="70"/>
  <c r="B23" i="70"/>
  <c r="D22" i="70"/>
  <c r="C28" i="70" s="1"/>
  <c r="B22" i="70"/>
  <c r="D21" i="70"/>
  <c r="C27" i="70" s="1"/>
  <c r="B21" i="70"/>
  <c r="D17" i="70"/>
  <c r="C17" i="70"/>
  <c r="B17" i="70"/>
  <c r="D16" i="70"/>
  <c r="C16" i="70"/>
  <c r="B16" i="70"/>
  <c r="D15" i="70"/>
  <c r="C15" i="70"/>
  <c r="B15" i="70"/>
  <c r="D14" i="70"/>
  <c r="C14" i="70"/>
  <c r="B14" i="70"/>
  <c r="D13" i="70"/>
  <c r="C13" i="70"/>
  <c r="B13" i="70"/>
  <c r="D12" i="70"/>
  <c r="C19" i="70" s="1"/>
  <c r="C12" i="70"/>
  <c r="B12" i="70"/>
  <c r="B7" i="70"/>
  <c r="E6" i="70"/>
  <c r="B6" i="70"/>
  <c r="I2" i="70"/>
  <c r="I46" i="69"/>
  <c r="D42" i="69"/>
  <c r="B35" i="69"/>
  <c r="D34" i="69"/>
  <c r="B34" i="69"/>
  <c r="D33" i="69"/>
  <c r="B33" i="69"/>
  <c r="D32" i="69"/>
  <c r="B32" i="69"/>
  <c r="D31" i="69"/>
  <c r="B31" i="69"/>
  <c r="D30" i="69"/>
  <c r="C37" i="69" s="1"/>
  <c r="B30" i="69"/>
  <c r="D26" i="69"/>
  <c r="B26" i="69"/>
  <c r="D25" i="69"/>
  <c r="B25" i="69"/>
  <c r="D24" i="69"/>
  <c r="B24" i="69"/>
  <c r="D23" i="69"/>
  <c r="B23" i="69"/>
  <c r="D22" i="69"/>
  <c r="B22" i="69"/>
  <c r="D21" i="69"/>
  <c r="C27" i="69" s="1"/>
  <c r="B21" i="69"/>
  <c r="D17" i="69"/>
  <c r="C17" i="69"/>
  <c r="B17" i="69"/>
  <c r="D16" i="69"/>
  <c r="C16" i="69"/>
  <c r="B16" i="69"/>
  <c r="D15" i="69"/>
  <c r="C15" i="69"/>
  <c r="B15" i="69"/>
  <c r="D14" i="69"/>
  <c r="C14" i="69"/>
  <c r="B14" i="69"/>
  <c r="D13" i="69"/>
  <c r="C13" i="69"/>
  <c r="B13" i="69"/>
  <c r="D12" i="69"/>
  <c r="C19" i="69" s="1"/>
  <c r="C12" i="69"/>
  <c r="B12" i="69"/>
  <c r="B7" i="69"/>
  <c r="E6" i="69"/>
  <c r="B6" i="69"/>
  <c r="I2" i="69"/>
  <c r="I46" i="68"/>
  <c r="D42" i="68"/>
  <c r="B35" i="68"/>
  <c r="D34" i="68"/>
  <c r="B34" i="68"/>
  <c r="D33" i="68"/>
  <c r="B33" i="68"/>
  <c r="D32" i="68"/>
  <c r="B32" i="68"/>
  <c r="D31" i="68"/>
  <c r="B31" i="68"/>
  <c r="D30" i="68"/>
  <c r="C37" i="68" s="1"/>
  <c r="B30" i="68"/>
  <c r="D26" i="68"/>
  <c r="B26" i="68"/>
  <c r="D25" i="68"/>
  <c r="B25" i="68"/>
  <c r="D24" i="68"/>
  <c r="B24" i="68"/>
  <c r="D23" i="68"/>
  <c r="B23" i="68"/>
  <c r="D22" i="68"/>
  <c r="B22" i="68"/>
  <c r="D21" i="68"/>
  <c r="C27" i="68" s="1"/>
  <c r="B21" i="68"/>
  <c r="D17" i="68"/>
  <c r="C17" i="68"/>
  <c r="B17" i="68"/>
  <c r="D16" i="68"/>
  <c r="C16" i="68"/>
  <c r="B16" i="68"/>
  <c r="D15" i="68"/>
  <c r="C15" i="68"/>
  <c r="B15" i="68"/>
  <c r="D14" i="68"/>
  <c r="C14" i="68"/>
  <c r="B14" i="68"/>
  <c r="D13" i="68"/>
  <c r="C13" i="68"/>
  <c r="B13" i="68"/>
  <c r="D12" i="68"/>
  <c r="C19" i="68" s="1"/>
  <c r="C12" i="68"/>
  <c r="B12" i="68"/>
  <c r="B7" i="68"/>
  <c r="E6" i="68"/>
  <c r="B6" i="68"/>
  <c r="I2" i="68"/>
  <c r="I46" i="67"/>
  <c r="D42" i="67"/>
  <c r="B35" i="67"/>
  <c r="D34" i="67"/>
  <c r="B34" i="67"/>
  <c r="D33" i="67"/>
  <c r="B33" i="67"/>
  <c r="D32" i="67"/>
  <c r="B32" i="67"/>
  <c r="D31" i="67"/>
  <c r="B31" i="67"/>
  <c r="D30" i="67"/>
  <c r="C37" i="67" s="1"/>
  <c r="B30" i="67"/>
  <c r="D26" i="67"/>
  <c r="B26" i="67"/>
  <c r="D25" i="67"/>
  <c r="B25" i="67"/>
  <c r="D24" i="67"/>
  <c r="B24" i="67"/>
  <c r="D23" i="67"/>
  <c r="B23" i="67"/>
  <c r="D22" i="67"/>
  <c r="B22" i="67"/>
  <c r="D21" i="67"/>
  <c r="C28" i="67" s="1"/>
  <c r="B21" i="67"/>
  <c r="D17" i="67"/>
  <c r="C17" i="67"/>
  <c r="B17" i="67"/>
  <c r="D16" i="67"/>
  <c r="C16" i="67"/>
  <c r="B16" i="67"/>
  <c r="D15" i="67"/>
  <c r="C15" i="67"/>
  <c r="B15" i="67"/>
  <c r="D14" i="67"/>
  <c r="C14" i="67"/>
  <c r="B14" i="67"/>
  <c r="D13" i="67"/>
  <c r="C13" i="67"/>
  <c r="B13" i="67"/>
  <c r="D12" i="67"/>
  <c r="C19" i="67" s="1"/>
  <c r="C12" i="67"/>
  <c r="B12" i="67"/>
  <c r="B7" i="67"/>
  <c r="E6" i="67"/>
  <c r="B6" i="67"/>
  <c r="I2" i="67"/>
  <c r="I46" i="66"/>
  <c r="D42" i="66"/>
  <c r="B35" i="66"/>
  <c r="D34" i="66"/>
  <c r="B34" i="66"/>
  <c r="D33" i="66"/>
  <c r="B33" i="66"/>
  <c r="D32" i="66"/>
  <c r="B32" i="66"/>
  <c r="D31" i="66"/>
  <c r="C37" i="66" s="1"/>
  <c r="B31" i="66"/>
  <c r="D30" i="66"/>
  <c r="C36" i="66" s="1"/>
  <c r="B30" i="66"/>
  <c r="D26" i="66"/>
  <c r="B26" i="66"/>
  <c r="D25" i="66"/>
  <c r="B25" i="66"/>
  <c r="D24" i="66"/>
  <c r="B24" i="66"/>
  <c r="D23" i="66"/>
  <c r="B23" i="66"/>
  <c r="D22" i="66"/>
  <c r="B22" i="66"/>
  <c r="D21" i="66"/>
  <c r="C28" i="66" s="1"/>
  <c r="B21" i="66"/>
  <c r="D17" i="66"/>
  <c r="C17" i="66"/>
  <c r="B17" i="66"/>
  <c r="D16" i="66"/>
  <c r="C16" i="66"/>
  <c r="B16" i="66"/>
  <c r="D15" i="66"/>
  <c r="C15" i="66"/>
  <c r="B15" i="66"/>
  <c r="D14" i="66"/>
  <c r="C14" i="66"/>
  <c r="B14" i="66"/>
  <c r="D13" i="66"/>
  <c r="C13" i="66"/>
  <c r="B13" i="66"/>
  <c r="D12" i="66"/>
  <c r="C19" i="66" s="1"/>
  <c r="C12" i="66"/>
  <c r="B12" i="66"/>
  <c r="B7" i="66"/>
  <c r="E6" i="66"/>
  <c r="B6" i="66"/>
  <c r="I2" i="66"/>
  <c r="I46" i="65"/>
  <c r="D42" i="65"/>
  <c r="B35" i="65"/>
  <c r="D34" i="65"/>
  <c r="B34" i="65"/>
  <c r="D33" i="65"/>
  <c r="B33" i="65"/>
  <c r="D32" i="65"/>
  <c r="B32" i="65"/>
  <c r="D31" i="65"/>
  <c r="B31" i="65"/>
  <c r="D30" i="65"/>
  <c r="C36" i="65" s="1"/>
  <c r="B30" i="65"/>
  <c r="D26" i="65"/>
  <c r="B26" i="65"/>
  <c r="D25" i="65"/>
  <c r="B25" i="65"/>
  <c r="D24" i="65"/>
  <c r="B24" i="65"/>
  <c r="D23" i="65"/>
  <c r="B23" i="65"/>
  <c r="D22" i="65"/>
  <c r="B22" i="65"/>
  <c r="D21" i="65"/>
  <c r="C28" i="65" s="1"/>
  <c r="B21" i="65"/>
  <c r="D17" i="65"/>
  <c r="C17" i="65"/>
  <c r="B17" i="65"/>
  <c r="D16" i="65"/>
  <c r="C16" i="65"/>
  <c r="B16" i="65"/>
  <c r="D15" i="65"/>
  <c r="C15" i="65"/>
  <c r="B15" i="65"/>
  <c r="D14" i="65"/>
  <c r="C14" i="65"/>
  <c r="B14" i="65"/>
  <c r="D13" i="65"/>
  <c r="C13" i="65"/>
  <c r="B13" i="65"/>
  <c r="D12" i="65"/>
  <c r="C19" i="65" s="1"/>
  <c r="C12" i="65"/>
  <c r="B12" i="65"/>
  <c r="B7" i="65"/>
  <c r="E6" i="65"/>
  <c r="B6" i="65"/>
  <c r="I2" i="65"/>
  <c r="I46" i="64"/>
  <c r="D42" i="64"/>
  <c r="B35" i="64"/>
  <c r="D34" i="64"/>
  <c r="B34" i="64"/>
  <c r="D33" i="64"/>
  <c r="B33" i="64"/>
  <c r="D32" i="64"/>
  <c r="B32" i="64"/>
  <c r="D31" i="64"/>
  <c r="B31" i="64"/>
  <c r="D30" i="64"/>
  <c r="C37" i="64" s="1"/>
  <c r="B30" i="64"/>
  <c r="D26" i="64"/>
  <c r="B26" i="64"/>
  <c r="D25" i="64"/>
  <c r="B25" i="64"/>
  <c r="D24" i="64"/>
  <c r="B24" i="64"/>
  <c r="D23" i="64"/>
  <c r="B23" i="64"/>
  <c r="D22" i="64"/>
  <c r="B22" i="64"/>
  <c r="D21" i="64"/>
  <c r="C28" i="64" s="1"/>
  <c r="B21" i="64"/>
  <c r="D17" i="64"/>
  <c r="C17" i="64"/>
  <c r="B17" i="64"/>
  <c r="D16" i="64"/>
  <c r="C16" i="64"/>
  <c r="B16" i="64"/>
  <c r="D15" i="64"/>
  <c r="C15" i="64"/>
  <c r="B15" i="64"/>
  <c r="D14" i="64"/>
  <c r="C14" i="64"/>
  <c r="B14" i="64"/>
  <c r="D13" i="64"/>
  <c r="C13" i="64"/>
  <c r="B13" i="64"/>
  <c r="D12" i="64"/>
  <c r="C19" i="64" s="1"/>
  <c r="C12" i="64"/>
  <c r="B12" i="64"/>
  <c r="B7" i="64"/>
  <c r="E6" i="64"/>
  <c r="B6" i="64"/>
  <c r="I2" i="64"/>
  <c r="I46" i="63"/>
  <c r="D42" i="63"/>
  <c r="B35" i="63"/>
  <c r="D34" i="63"/>
  <c r="B34" i="63"/>
  <c r="D33" i="63"/>
  <c r="B33" i="63"/>
  <c r="D32" i="63"/>
  <c r="B32" i="63"/>
  <c r="D31" i="63"/>
  <c r="B31" i="63"/>
  <c r="D30" i="63"/>
  <c r="C37" i="63" s="1"/>
  <c r="B30" i="63"/>
  <c r="D26" i="63"/>
  <c r="B26" i="63"/>
  <c r="D25" i="63"/>
  <c r="B25" i="63"/>
  <c r="D24" i="63"/>
  <c r="B24" i="63"/>
  <c r="D23" i="63"/>
  <c r="B23" i="63"/>
  <c r="D22" i="63"/>
  <c r="C28" i="63" s="1"/>
  <c r="B22" i="63"/>
  <c r="D21" i="63"/>
  <c r="C27" i="63" s="1"/>
  <c r="B21" i="63"/>
  <c r="D17" i="63"/>
  <c r="C17" i="63"/>
  <c r="B17" i="63"/>
  <c r="D16" i="63"/>
  <c r="C16" i="63"/>
  <c r="B16" i="63"/>
  <c r="D15" i="63"/>
  <c r="C15" i="63"/>
  <c r="B15" i="63"/>
  <c r="D14" i="63"/>
  <c r="C14" i="63"/>
  <c r="B14" i="63"/>
  <c r="D13" i="63"/>
  <c r="C13" i="63"/>
  <c r="B13" i="63"/>
  <c r="D12" i="63"/>
  <c r="C19" i="63" s="1"/>
  <c r="C12" i="63"/>
  <c r="B12" i="63"/>
  <c r="B7" i="63"/>
  <c r="E6" i="63"/>
  <c r="B6" i="63"/>
  <c r="I2" i="63"/>
  <c r="C28" i="77" l="1"/>
  <c r="C37" i="77"/>
  <c r="C28" i="82"/>
  <c r="C37" i="82"/>
  <c r="C36" i="86"/>
  <c r="C18" i="86"/>
  <c r="C37" i="65"/>
  <c r="C37" i="74"/>
  <c r="C27" i="75"/>
  <c r="C37" i="75"/>
  <c r="C36" i="80"/>
  <c r="C28" i="84"/>
  <c r="C37" i="84"/>
  <c r="C18" i="63"/>
  <c r="C18" i="82"/>
  <c r="C36" i="64"/>
  <c r="C37" i="73"/>
  <c r="C28" i="78"/>
  <c r="C28" i="83"/>
  <c r="C28" i="87"/>
  <c r="C36" i="87"/>
  <c r="C27" i="88"/>
  <c r="C18" i="87"/>
  <c r="C27" i="86"/>
  <c r="C18" i="85"/>
  <c r="C36" i="85"/>
  <c r="C18" i="84"/>
  <c r="C19" i="83"/>
  <c r="C36" i="83"/>
  <c r="C18" i="81"/>
  <c r="C36" i="81"/>
  <c r="C28" i="81"/>
  <c r="C18" i="80"/>
  <c r="C28" i="80"/>
  <c r="C18" i="78"/>
  <c r="C36" i="78"/>
  <c r="C18" i="77"/>
  <c r="C18" i="76"/>
  <c r="C27" i="76"/>
  <c r="C18" i="75"/>
  <c r="C27" i="74"/>
  <c r="C18" i="74"/>
  <c r="C36" i="74"/>
  <c r="C18" i="73"/>
  <c r="C36" i="73"/>
  <c r="C28" i="73"/>
  <c r="C27" i="72"/>
  <c r="C18" i="72"/>
  <c r="C36" i="72"/>
  <c r="C27" i="71"/>
  <c r="C18" i="71"/>
  <c r="C18" i="70"/>
  <c r="C18" i="69"/>
  <c r="C36" i="69"/>
  <c r="C28" i="69"/>
  <c r="C18" i="68"/>
  <c r="C36" i="68"/>
  <c r="C28" i="68"/>
  <c r="C27" i="67"/>
  <c r="C18" i="67"/>
  <c r="C36" i="67"/>
  <c r="C18" i="66"/>
  <c r="C27" i="66"/>
  <c r="C27" i="65"/>
  <c r="C18" i="65"/>
  <c r="C27" i="64"/>
  <c r="C18" i="64"/>
  <c r="C36" i="63"/>
  <c r="I46" i="62"/>
  <c r="D42" i="62"/>
  <c r="B35" i="62"/>
  <c r="D34" i="62"/>
  <c r="B34" i="62"/>
  <c r="D33" i="62"/>
  <c r="B33" i="62"/>
  <c r="D32" i="62"/>
  <c r="B32" i="62"/>
  <c r="D31" i="62"/>
  <c r="B31" i="62"/>
  <c r="D30" i="62"/>
  <c r="C36" i="62" s="1"/>
  <c r="B30" i="62"/>
  <c r="D26" i="62"/>
  <c r="B26" i="62"/>
  <c r="D25" i="62"/>
  <c r="B25" i="62"/>
  <c r="D24" i="62"/>
  <c r="B24" i="62"/>
  <c r="D23" i="62"/>
  <c r="B23" i="62"/>
  <c r="D22" i="62"/>
  <c r="B22" i="62"/>
  <c r="D21" i="62"/>
  <c r="C27" i="62" s="1"/>
  <c r="B21" i="62"/>
  <c r="D17" i="62"/>
  <c r="C17" i="62"/>
  <c r="B17" i="62"/>
  <c r="D16" i="62"/>
  <c r="C16" i="62"/>
  <c r="B16" i="62"/>
  <c r="D15" i="62"/>
  <c r="C15" i="62"/>
  <c r="B15" i="62"/>
  <c r="D14" i="62"/>
  <c r="C14" i="62"/>
  <c r="B14" i="62"/>
  <c r="D13" i="62"/>
  <c r="C13" i="62"/>
  <c r="B13" i="62"/>
  <c r="D12" i="62"/>
  <c r="C19" i="62" s="1"/>
  <c r="C12" i="62"/>
  <c r="B12" i="62"/>
  <c r="B7" i="62"/>
  <c r="E6" i="62"/>
  <c r="B6" i="62"/>
  <c r="I2" i="62"/>
  <c r="I46" i="61"/>
  <c r="D42" i="61"/>
  <c r="B35" i="61"/>
  <c r="D34" i="61"/>
  <c r="B34" i="61"/>
  <c r="D33" i="61"/>
  <c r="B33" i="61"/>
  <c r="D32" i="61"/>
  <c r="B32" i="61"/>
  <c r="D31" i="61"/>
  <c r="B31" i="61"/>
  <c r="D30" i="61"/>
  <c r="C37" i="61" s="1"/>
  <c r="B30" i="61"/>
  <c r="D26" i="61"/>
  <c r="B26" i="61"/>
  <c r="D25" i="61"/>
  <c r="B25" i="61"/>
  <c r="D24" i="61"/>
  <c r="B24" i="61"/>
  <c r="D23" i="61"/>
  <c r="B23" i="61"/>
  <c r="D22" i="61"/>
  <c r="B22" i="61"/>
  <c r="D21" i="61"/>
  <c r="C27" i="61" s="1"/>
  <c r="B21" i="61"/>
  <c r="D17" i="61"/>
  <c r="C17" i="61"/>
  <c r="B17" i="61"/>
  <c r="D16" i="61"/>
  <c r="C16" i="61"/>
  <c r="B16" i="61"/>
  <c r="D15" i="61"/>
  <c r="C15" i="61"/>
  <c r="B15" i="61"/>
  <c r="D14" i="61"/>
  <c r="C14" i="61"/>
  <c r="B14" i="61"/>
  <c r="D13" i="61"/>
  <c r="C13" i="61"/>
  <c r="B13" i="61"/>
  <c r="D12" i="61"/>
  <c r="C19" i="61" s="1"/>
  <c r="C12" i="61"/>
  <c r="B12" i="61"/>
  <c r="B7" i="61"/>
  <c r="E6" i="61"/>
  <c r="B6" i="61"/>
  <c r="I2" i="61"/>
  <c r="I46" i="60"/>
  <c r="D42" i="60"/>
  <c r="B35" i="60"/>
  <c r="D34" i="60"/>
  <c r="B34" i="60"/>
  <c r="D33" i="60"/>
  <c r="B33" i="60"/>
  <c r="D32" i="60"/>
  <c r="B32" i="60"/>
  <c r="D31" i="60"/>
  <c r="B31" i="60"/>
  <c r="D30" i="60"/>
  <c r="C37" i="60" s="1"/>
  <c r="B30" i="60"/>
  <c r="D26" i="60"/>
  <c r="B26" i="60"/>
  <c r="D25" i="60"/>
  <c r="B25" i="60"/>
  <c r="D24" i="60"/>
  <c r="B24" i="60"/>
  <c r="D23" i="60"/>
  <c r="B23" i="60"/>
  <c r="D22" i="60"/>
  <c r="B22" i="60"/>
  <c r="D21" i="60"/>
  <c r="C27" i="60" s="1"/>
  <c r="B21" i="60"/>
  <c r="D17" i="60"/>
  <c r="C17" i="60"/>
  <c r="B17" i="60"/>
  <c r="D16" i="60"/>
  <c r="C16" i="60"/>
  <c r="B16" i="60"/>
  <c r="D15" i="60"/>
  <c r="C15" i="60"/>
  <c r="B15" i="60"/>
  <c r="D14" i="60"/>
  <c r="C14" i="60"/>
  <c r="B14" i="60"/>
  <c r="D13" i="60"/>
  <c r="C13" i="60"/>
  <c r="B13" i="60"/>
  <c r="D12" i="60"/>
  <c r="C19" i="60" s="1"/>
  <c r="C12" i="60"/>
  <c r="B12" i="60"/>
  <c r="B7" i="60"/>
  <c r="E6" i="60"/>
  <c r="B6" i="60"/>
  <c r="I2" i="60"/>
  <c r="I46" i="59"/>
  <c r="D42" i="59"/>
  <c r="B35" i="59"/>
  <c r="D34" i="59"/>
  <c r="B34" i="59"/>
  <c r="D33" i="59"/>
  <c r="B33" i="59"/>
  <c r="D32" i="59"/>
  <c r="B32" i="59"/>
  <c r="D31" i="59"/>
  <c r="B31" i="59"/>
  <c r="D30" i="59"/>
  <c r="C36" i="59" s="1"/>
  <c r="B30" i="59"/>
  <c r="D26" i="59"/>
  <c r="B26" i="59"/>
  <c r="D25" i="59"/>
  <c r="B25" i="59"/>
  <c r="D24" i="59"/>
  <c r="B24" i="59"/>
  <c r="D23" i="59"/>
  <c r="B23" i="59"/>
  <c r="D22" i="59"/>
  <c r="B22" i="59"/>
  <c r="D21" i="59"/>
  <c r="C28" i="59" s="1"/>
  <c r="B21" i="59"/>
  <c r="D17" i="59"/>
  <c r="C17" i="59"/>
  <c r="B17" i="59"/>
  <c r="D16" i="59"/>
  <c r="C16" i="59"/>
  <c r="B16" i="59"/>
  <c r="D15" i="59"/>
  <c r="C15" i="59"/>
  <c r="B15" i="59"/>
  <c r="D14" i="59"/>
  <c r="C14" i="59"/>
  <c r="B14" i="59"/>
  <c r="D13" i="59"/>
  <c r="C13" i="59"/>
  <c r="B13" i="59"/>
  <c r="D12" i="59"/>
  <c r="C19" i="59" s="1"/>
  <c r="C12" i="59"/>
  <c r="B12" i="59"/>
  <c r="B7" i="59"/>
  <c r="E6" i="59"/>
  <c r="B6" i="59"/>
  <c r="I2" i="59"/>
  <c r="I46" i="58"/>
  <c r="D42" i="58"/>
  <c r="B35" i="58"/>
  <c r="D34" i="58"/>
  <c r="B34" i="58"/>
  <c r="D33" i="58"/>
  <c r="B33" i="58"/>
  <c r="D32" i="58"/>
  <c r="B32" i="58"/>
  <c r="D31" i="58"/>
  <c r="B31" i="58"/>
  <c r="D30" i="58"/>
  <c r="C37" i="58" s="1"/>
  <c r="B30" i="58"/>
  <c r="D26" i="58"/>
  <c r="B26" i="58"/>
  <c r="D25" i="58"/>
  <c r="B25" i="58"/>
  <c r="D24" i="58"/>
  <c r="B24" i="58"/>
  <c r="D23" i="58"/>
  <c r="B23" i="58"/>
  <c r="D22" i="58"/>
  <c r="B22" i="58"/>
  <c r="D21" i="58"/>
  <c r="C28" i="58" s="1"/>
  <c r="B21" i="58"/>
  <c r="D17" i="58"/>
  <c r="C17" i="58"/>
  <c r="B17" i="58"/>
  <c r="D16" i="58"/>
  <c r="C16" i="58"/>
  <c r="B16" i="58"/>
  <c r="D15" i="58"/>
  <c r="C15" i="58"/>
  <c r="B15" i="58"/>
  <c r="D14" i="58"/>
  <c r="C14" i="58"/>
  <c r="B14" i="58"/>
  <c r="D13" i="58"/>
  <c r="C13" i="58"/>
  <c r="B13" i="58"/>
  <c r="D12" i="58"/>
  <c r="C19" i="58" s="1"/>
  <c r="C12" i="58"/>
  <c r="B12" i="58"/>
  <c r="B7" i="58"/>
  <c r="E6" i="58"/>
  <c r="B6" i="58"/>
  <c r="I2" i="58"/>
  <c r="I46" i="56"/>
  <c r="D42" i="56"/>
  <c r="B35" i="56"/>
  <c r="D34" i="56"/>
  <c r="B34" i="56"/>
  <c r="D33" i="56"/>
  <c r="B33" i="56"/>
  <c r="D32" i="56"/>
  <c r="B32" i="56"/>
  <c r="D31" i="56"/>
  <c r="C37" i="56" s="1"/>
  <c r="B31" i="56"/>
  <c r="D30" i="56"/>
  <c r="C36" i="56" s="1"/>
  <c r="B30" i="56"/>
  <c r="D26" i="56"/>
  <c r="B26" i="56"/>
  <c r="D25" i="56"/>
  <c r="B25" i="56"/>
  <c r="D24" i="56"/>
  <c r="B24" i="56"/>
  <c r="D23" i="56"/>
  <c r="B23" i="56"/>
  <c r="D22" i="56"/>
  <c r="B22" i="56"/>
  <c r="D21" i="56"/>
  <c r="C28" i="56" s="1"/>
  <c r="B21" i="56"/>
  <c r="D17" i="56"/>
  <c r="C17" i="56"/>
  <c r="B17" i="56"/>
  <c r="D16" i="56"/>
  <c r="C16" i="56"/>
  <c r="B16" i="56"/>
  <c r="D15" i="56"/>
  <c r="C15" i="56"/>
  <c r="B15" i="56"/>
  <c r="D14" i="56"/>
  <c r="C14" i="56"/>
  <c r="B14" i="56"/>
  <c r="D13" i="56"/>
  <c r="C13" i="56"/>
  <c r="B13" i="56"/>
  <c r="D12" i="56"/>
  <c r="C19" i="56" s="1"/>
  <c r="C12" i="56"/>
  <c r="B12" i="56"/>
  <c r="B7" i="56"/>
  <c r="E6" i="56"/>
  <c r="B6" i="56"/>
  <c r="I2" i="56"/>
  <c r="B34" i="44"/>
  <c r="B33" i="44"/>
  <c r="B32" i="44"/>
  <c r="B31" i="44"/>
  <c r="B30" i="44"/>
  <c r="B26" i="44"/>
  <c r="B25" i="44"/>
  <c r="B24" i="44"/>
  <c r="B23" i="44"/>
  <c r="B22" i="44"/>
  <c r="B21" i="44"/>
  <c r="D26" i="44"/>
  <c r="C37" i="59" l="1"/>
  <c r="C27" i="56"/>
  <c r="C27" i="58"/>
  <c r="C28" i="62"/>
  <c r="C37" i="62"/>
  <c r="C18" i="62"/>
  <c r="C18" i="61"/>
  <c r="C36" i="61"/>
  <c r="C28" i="61"/>
  <c r="C18" i="60"/>
  <c r="C36" i="60"/>
  <c r="C28" i="60"/>
  <c r="C27" i="59"/>
  <c r="C18" i="59"/>
  <c r="C18" i="58"/>
  <c r="C36" i="58"/>
  <c r="C18" i="56"/>
  <c r="D34" i="44"/>
  <c r="D33" i="44"/>
  <c r="D32" i="44"/>
  <c r="D31" i="44"/>
  <c r="D30" i="44"/>
  <c r="C37" i="44" s="1"/>
  <c r="D25" i="44"/>
  <c r="D24" i="44"/>
  <c r="D23" i="44"/>
  <c r="D22" i="44"/>
  <c r="D21" i="44"/>
  <c r="C28" i="44" s="1"/>
  <c r="B12" i="44"/>
  <c r="C17" i="44"/>
  <c r="B17" i="44"/>
  <c r="C16" i="44"/>
  <c r="B16" i="44"/>
  <c r="C15" i="44"/>
  <c r="B15" i="44"/>
  <c r="C14" i="44"/>
  <c r="B14" i="44"/>
  <c r="C13" i="44"/>
  <c r="U9" i="54"/>
  <c r="T9" i="54"/>
  <c r="S9" i="54"/>
  <c r="R9" i="54"/>
  <c r="Q9" i="54"/>
  <c r="C9" i="55"/>
  <c r="C10" i="55"/>
  <c r="C11" i="55"/>
  <c r="C12" i="55"/>
  <c r="C8" i="55"/>
  <c r="C22" i="55" s="1"/>
  <c r="B9" i="55"/>
  <c r="B23" i="55" s="1"/>
  <c r="B10" i="55"/>
  <c r="B24" i="55" s="1"/>
  <c r="B11" i="55"/>
  <c r="B25" i="55" s="1"/>
  <c r="B12" i="55"/>
  <c r="B26" i="55" s="1"/>
  <c r="B8" i="55"/>
  <c r="B22" i="55" s="1"/>
  <c r="L7" i="54"/>
  <c r="C6" i="54"/>
  <c r="D9" i="55" l="1"/>
  <c r="D10" i="55"/>
  <c r="D11" i="55"/>
  <c r="D12" i="55"/>
  <c r="D8" i="55"/>
  <c r="C26" i="55"/>
  <c r="D26" i="55" s="1"/>
  <c r="C25" i="55"/>
  <c r="D25" i="55" s="1"/>
  <c r="C24" i="55"/>
  <c r="D24" i="55" s="1"/>
  <c r="C23" i="55"/>
  <c r="D23" i="55" s="1"/>
  <c r="D22" i="55"/>
  <c r="D27" i="55" l="1"/>
  <c r="D13" i="55"/>
  <c r="C27" i="48"/>
  <c r="C27" i="47"/>
  <c r="C27" i="46"/>
  <c r="C27" i="55"/>
  <c r="F19" i="55"/>
  <c r="C13" i="55"/>
  <c r="E160" i="54" l="1"/>
  <c r="D160" i="54"/>
  <c r="C160" i="54"/>
  <c r="B160" i="54"/>
  <c r="E159" i="54"/>
  <c r="D159" i="54"/>
  <c r="C159" i="54"/>
  <c r="B159" i="54"/>
  <c r="E158" i="54"/>
  <c r="D158" i="54"/>
  <c r="C158" i="54"/>
  <c r="B158" i="54"/>
  <c r="E157" i="54"/>
  <c r="D157" i="54"/>
  <c r="C157" i="54"/>
  <c r="B157" i="54"/>
  <c r="E156" i="54"/>
  <c r="D156" i="54"/>
  <c r="C156" i="54"/>
  <c r="B156" i="54"/>
  <c r="E155" i="54"/>
  <c r="D155" i="54"/>
  <c r="C155" i="54"/>
  <c r="B155" i="54"/>
  <c r="E154" i="54"/>
  <c r="D154" i="54"/>
  <c r="C154" i="54"/>
  <c r="B154" i="54"/>
  <c r="E153" i="54"/>
  <c r="D153" i="54"/>
  <c r="C153" i="54"/>
  <c r="B153" i="54"/>
  <c r="E152" i="54"/>
  <c r="D152" i="54"/>
  <c r="C152" i="54"/>
  <c r="B152" i="54"/>
  <c r="E151" i="54"/>
  <c r="D151" i="54"/>
  <c r="C151" i="54"/>
  <c r="B151" i="54"/>
  <c r="E150" i="54"/>
  <c r="D150" i="54"/>
  <c r="C150" i="54"/>
  <c r="B150" i="54"/>
  <c r="E149" i="54"/>
  <c r="D149" i="54"/>
  <c r="C149" i="54"/>
  <c r="B149" i="54"/>
  <c r="E148" i="54"/>
  <c r="D148" i="54"/>
  <c r="C148" i="54"/>
  <c r="B148" i="54"/>
  <c r="E147" i="54"/>
  <c r="D147" i="54"/>
  <c r="C147" i="54"/>
  <c r="B147" i="54"/>
  <c r="E146" i="54"/>
  <c r="D146" i="54"/>
  <c r="C146" i="54"/>
  <c r="B146" i="54"/>
  <c r="E145" i="54"/>
  <c r="D145" i="54"/>
  <c r="C145" i="54"/>
  <c r="B145" i="54"/>
  <c r="E144" i="54"/>
  <c r="D144" i="54"/>
  <c r="C144" i="54"/>
  <c r="B144" i="54"/>
  <c r="E143" i="54"/>
  <c r="D143" i="54"/>
  <c r="C143" i="54"/>
  <c r="B143" i="54"/>
  <c r="E142" i="54"/>
  <c r="D142" i="54"/>
  <c r="C142" i="54"/>
  <c r="B142" i="54"/>
  <c r="E141" i="54"/>
  <c r="D141" i="54"/>
  <c r="C141" i="54"/>
  <c r="B141" i="54"/>
  <c r="E140" i="54"/>
  <c r="D140" i="54"/>
  <c r="C140" i="54"/>
  <c r="B140" i="54"/>
  <c r="E139" i="54"/>
  <c r="D139" i="54"/>
  <c r="C139" i="54"/>
  <c r="B139" i="54"/>
  <c r="E138" i="54"/>
  <c r="D138" i="54"/>
  <c r="C138" i="54"/>
  <c r="B138" i="54"/>
  <c r="E137" i="54"/>
  <c r="D137" i="54"/>
  <c r="C137" i="54"/>
  <c r="B137" i="54"/>
  <c r="E136" i="54"/>
  <c r="D136" i="54"/>
  <c r="C136" i="54"/>
  <c r="B136" i="54"/>
  <c r="E135" i="54"/>
  <c r="D135" i="54"/>
  <c r="C135" i="54"/>
  <c r="B135" i="54"/>
  <c r="E134" i="54"/>
  <c r="D134" i="54"/>
  <c r="C134" i="54"/>
  <c r="B134" i="54"/>
  <c r="E133" i="54"/>
  <c r="D133" i="54"/>
  <c r="C133" i="54"/>
  <c r="B133" i="54"/>
  <c r="E132" i="54"/>
  <c r="D132" i="54"/>
  <c r="C132" i="54"/>
  <c r="B132" i="54"/>
  <c r="E131" i="54"/>
  <c r="D131" i="54"/>
  <c r="C131" i="54"/>
  <c r="B131" i="54"/>
  <c r="E130" i="54"/>
  <c r="D130" i="54"/>
  <c r="C130" i="54"/>
  <c r="B130" i="54"/>
  <c r="E129" i="54"/>
  <c r="D129" i="54"/>
  <c r="C129" i="54"/>
  <c r="B129" i="54"/>
  <c r="E128" i="54"/>
  <c r="D128" i="54"/>
  <c r="C128" i="54"/>
  <c r="B128" i="54"/>
  <c r="E127" i="54"/>
  <c r="D127" i="54"/>
  <c r="C127" i="54"/>
  <c r="B127" i="54"/>
  <c r="E126" i="54"/>
  <c r="D126" i="54"/>
  <c r="C126" i="54"/>
  <c r="B126" i="54"/>
  <c r="E125" i="54"/>
  <c r="D125" i="54"/>
  <c r="C125" i="54"/>
  <c r="B125" i="54"/>
  <c r="E124" i="54"/>
  <c r="D124" i="54"/>
  <c r="C124" i="54"/>
  <c r="B124" i="54"/>
  <c r="E123" i="54"/>
  <c r="D123" i="54"/>
  <c r="C123" i="54"/>
  <c r="B123" i="54"/>
  <c r="E122" i="54"/>
  <c r="D122" i="54"/>
  <c r="C122" i="54"/>
  <c r="B122" i="54"/>
  <c r="E121" i="54"/>
  <c r="D121" i="54"/>
  <c r="C121" i="54"/>
  <c r="B121" i="54"/>
  <c r="E120" i="54"/>
  <c r="D120" i="54"/>
  <c r="C120" i="54"/>
  <c r="B120" i="54"/>
  <c r="E119" i="54"/>
  <c r="D119" i="54"/>
  <c r="C119" i="54"/>
  <c r="B119" i="54"/>
  <c r="E118" i="54"/>
  <c r="D118" i="54"/>
  <c r="C118" i="54"/>
  <c r="B118" i="54"/>
  <c r="E117" i="54"/>
  <c r="D117" i="54"/>
  <c r="C117" i="54"/>
  <c r="B117" i="54"/>
  <c r="E116" i="54"/>
  <c r="D116" i="54"/>
  <c r="C116" i="54"/>
  <c r="B116" i="54"/>
  <c r="E115" i="54"/>
  <c r="D115" i="54"/>
  <c r="C115" i="54"/>
  <c r="B115" i="54"/>
  <c r="E114" i="54"/>
  <c r="D114" i="54"/>
  <c r="C114" i="54"/>
  <c r="B114" i="54"/>
  <c r="E113" i="54"/>
  <c r="D113" i="54"/>
  <c r="C113" i="54"/>
  <c r="B113" i="54"/>
  <c r="E112" i="54"/>
  <c r="D112" i="54"/>
  <c r="C112" i="54"/>
  <c r="B112" i="54"/>
  <c r="E111" i="54"/>
  <c r="D111" i="54"/>
  <c r="C111" i="54"/>
  <c r="B111" i="54"/>
  <c r="E110" i="54"/>
  <c r="D110" i="54"/>
  <c r="C110" i="54"/>
  <c r="B110" i="54"/>
  <c r="E109" i="54"/>
  <c r="D109" i="54"/>
  <c r="C109" i="54"/>
  <c r="B109" i="54"/>
  <c r="E108" i="54"/>
  <c r="D108" i="54"/>
  <c r="C108" i="54"/>
  <c r="B108" i="54"/>
  <c r="E107" i="54"/>
  <c r="D107" i="54"/>
  <c r="C107" i="54"/>
  <c r="B107" i="54"/>
  <c r="E106" i="54"/>
  <c r="D106" i="54"/>
  <c r="C106" i="54"/>
  <c r="B106" i="54"/>
  <c r="E105" i="54"/>
  <c r="D105" i="54"/>
  <c r="C105" i="54"/>
  <c r="B105" i="54"/>
  <c r="E104" i="54"/>
  <c r="D104" i="54"/>
  <c r="C104" i="54"/>
  <c r="B104" i="54"/>
  <c r="E103" i="54"/>
  <c r="D103" i="54"/>
  <c r="C103" i="54"/>
  <c r="B103" i="54"/>
  <c r="E102" i="54"/>
  <c r="D102" i="54"/>
  <c r="C102" i="54"/>
  <c r="B102" i="54"/>
  <c r="E101" i="54"/>
  <c r="D101" i="54"/>
  <c r="C101" i="54"/>
  <c r="B101" i="54"/>
  <c r="E100" i="54"/>
  <c r="D100" i="54"/>
  <c r="C100" i="54"/>
  <c r="B100" i="54"/>
  <c r="E99" i="54"/>
  <c r="D99" i="54"/>
  <c r="C99" i="54"/>
  <c r="B99" i="54"/>
  <c r="E98" i="54"/>
  <c r="D98" i="54"/>
  <c r="C98" i="54"/>
  <c r="B98" i="54"/>
  <c r="E97" i="54"/>
  <c r="D97" i="54"/>
  <c r="C97" i="54"/>
  <c r="B97" i="54"/>
  <c r="E96" i="54"/>
  <c r="D96" i="54"/>
  <c r="C96" i="54"/>
  <c r="B96" i="54"/>
  <c r="E95" i="54"/>
  <c r="D95" i="54"/>
  <c r="C95" i="54"/>
  <c r="B95" i="54"/>
  <c r="E94" i="54"/>
  <c r="D94" i="54"/>
  <c r="C94" i="54"/>
  <c r="B94" i="54"/>
  <c r="E93" i="54"/>
  <c r="D93" i="54"/>
  <c r="C93" i="54"/>
  <c r="B93" i="54"/>
  <c r="E92" i="54"/>
  <c r="D92" i="54"/>
  <c r="C92" i="54"/>
  <c r="B92" i="54"/>
  <c r="E91" i="54"/>
  <c r="D91" i="54"/>
  <c r="C91" i="54"/>
  <c r="B91" i="54"/>
  <c r="E90" i="54"/>
  <c r="D90" i="54"/>
  <c r="C90" i="54"/>
  <c r="B90" i="54"/>
  <c r="E89" i="54"/>
  <c r="D89" i="54"/>
  <c r="C89" i="54"/>
  <c r="B89" i="54"/>
  <c r="E88" i="54"/>
  <c r="D88" i="54"/>
  <c r="C88" i="54"/>
  <c r="B88" i="54"/>
  <c r="E87" i="54"/>
  <c r="D87" i="54"/>
  <c r="C87" i="54"/>
  <c r="B87" i="54"/>
  <c r="E86" i="54"/>
  <c r="D86" i="54"/>
  <c r="C86" i="54"/>
  <c r="B86" i="54"/>
  <c r="E85" i="54"/>
  <c r="D85" i="54"/>
  <c r="C85" i="54"/>
  <c r="B85" i="54"/>
  <c r="E84" i="54"/>
  <c r="D84" i="54"/>
  <c r="C84" i="54"/>
  <c r="B84" i="54"/>
  <c r="E83" i="54"/>
  <c r="D83" i="54"/>
  <c r="C83" i="54"/>
  <c r="B83" i="54"/>
  <c r="E82" i="54"/>
  <c r="D82" i="54"/>
  <c r="C82" i="54"/>
  <c r="B82" i="54"/>
  <c r="E81" i="54"/>
  <c r="D81" i="54"/>
  <c r="C81" i="54"/>
  <c r="B81" i="54"/>
  <c r="E80" i="54"/>
  <c r="D80" i="54"/>
  <c r="C80" i="54"/>
  <c r="B80" i="54"/>
  <c r="E79" i="54"/>
  <c r="D79" i="54"/>
  <c r="C79" i="54"/>
  <c r="B79" i="54"/>
  <c r="E78" i="54"/>
  <c r="D78" i="54"/>
  <c r="C78" i="54"/>
  <c r="B78" i="54"/>
  <c r="E77" i="54"/>
  <c r="D77" i="54"/>
  <c r="C77" i="54"/>
  <c r="B77" i="54"/>
  <c r="E76" i="54"/>
  <c r="D76" i="54"/>
  <c r="C76" i="54"/>
  <c r="B76" i="54"/>
  <c r="E75" i="54"/>
  <c r="D75" i="54"/>
  <c r="C75" i="54"/>
  <c r="B75" i="54"/>
  <c r="E74" i="54"/>
  <c r="D74" i="54"/>
  <c r="C74" i="54"/>
  <c r="B74" i="54"/>
  <c r="E73" i="54"/>
  <c r="D73" i="54"/>
  <c r="C73" i="54"/>
  <c r="B73" i="54"/>
  <c r="E72" i="54"/>
  <c r="D72" i="54"/>
  <c r="C72" i="54"/>
  <c r="B72" i="54"/>
  <c r="E71" i="54"/>
  <c r="D71" i="54"/>
  <c r="C71" i="54"/>
  <c r="B71" i="54"/>
  <c r="E70" i="54"/>
  <c r="D70" i="54"/>
  <c r="C70" i="54"/>
  <c r="B70" i="54"/>
  <c r="E69" i="54"/>
  <c r="D69" i="54"/>
  <c r="C69" i="54"/>
  <c r="B69" i="54"/>
  <c r="E68" i="54"/>
  <c r="D68" i="54"/>
  <c r="C68" i="54"/>
  <c r="B68" i="54"/>
  <c r="E67" i="54"/>
  <c r="D67" i="54"/>
  <c r="C67" i="54"/>
  <c r="B67" i="54"/>
  <c r="E66" i="54"/>
  <c r="D66" i="54"/>
  <c r="C66" i="54"/>
  <c r="B66" i="54"/>
  <c r="E65" i="54"/>
  <c r="D65" i="54"/>
  <c r="C65" i="54"/>
  <c r="B65" i="54"/>
  <c r="E64" i="54"/>
  <c r="D64" i="54"/>
  <c r="C64" i="54"/>
  <c r="B64" i="54"/>
  <c r="E63" i="54"/>
  <c r="D63" i="54"/>
  <c r="C63" i="54"/>
  <c r="B63" i="54"/>
  <c r="E62" i="54"/>
  <c r="D62" i="54"/>
  <c r="C62" i="54"/>
  <c r="B62" i="54"/>
  <c r="E61" i="54"/>
  <c r="D61" i="54"/>
  <c r="C61" i="54"/>
  <c r="B61" i="54"/>
  <c r="E60" i="54"/>
  <c r="D60" i="54"/>
  <c r="C60" i="54"/>
  <c r="B60" i="54"/>
  <c r="E59" i="54"/>
  <c r="D59" i="54"/>
  <c r="C59" i="54"/>
  <c r="B59" i="54"/>
  <c r="E58" i="54"/>
  <c r="D58" i="54"/>
  <c r="C58" i="54"/>
  <c r="B58" i="54"/>
  <c r="E57" i="54"/>
  <c r="D57" i="54"/>
  <c r="C57" i="54"/>
  <c r="B57" i="54"/>
  <c r="E56" i="54"/>
  <c r="D56" i="54"/>
  <c r="C56" i="54"/>
  <c r="B56" i="54"/>
  <c r="E55" i="54"/>
  <c r="D55" i="54"/>
  <c r="C55" i="54"/>
  <c r="B55" i="54"/>
  <c r="E54" i="54"/>
  <c r="D54" i="54"/>
  <c r="C54" i="54"/>
  <c r="B54" i="54"/>
  <c r="E53" i="54"/>
  <c r="D53" i="54"/>
  <c r="C53" i="54"/>
  <c r="B53" i="54"/>
  <c r="E52" i="54"/>
  <c r="D52" i="54"/>
  <c r="C52" i="54"/>
  <c r="B52" i="54"/>
  <c r="E51" i="54"/>
  <c r="D51" i="54"/>
  <c r="C51" i="54"/>
  <c r="B51" i="54"/>
  <c r="E50" i="54"/>
  <c r="D50" i="54"/>
  <c r="C50" i="54"/>
  <c r="B50" i="54"/>
  <c r="E49" i="54"/>
  <c r="D49" i="54"/>
  <c r="C49" i="54"/>
  <c r="B49" i="54"/>
  <c r="E48" i="54"/>
  <c r="D48" i="54"/>
  <c r="C48" i="54"/>
  <c r="B48" i="54"/>
  <c r="E47" i="54"/>
  <c r="D47" i="54"/>
  <c r="C47" i="54"/>
  <c r="B47" i="54"/>
  <c r="E46" i="54"/>
  <c r="D46" i="54"/>
  <c r="C46" i="54"/>
  <c r="B46" i="54"/>
  <c r="E45" i="54"/>
  <c r="D45" i="54"/>
  <c r="C45" i="54"/>
  <c r="B45" i="54"/>
  <c r="E44" i="54"/>
  <c r="D44" i="54"/>
  <c r="C44" i="54"/>
  <c r="B44" i="54"/>
  <c r="E43" i="54"/>
  <c r="D43" i="54"/>
  <c r="C43" i="54"/>
  <c r="B43" i="54"/>
  <c r="E42" i="54"/>
  <c r="D42" i="54"/>
  <c r="C42" i="54"/>
  <c r="B42" i="54"/>
  <c r="E41" i="54"/>
  <c r="D41" i="54"/>
  <c r="C41" i="54"/>
  <c r="B41" i="54"/>
  <c r="E40" i="54"/>
  <c r="D40" i="54"/>
  <c r="C40" i="54"/>
  <c r="B40" i="54"/>
  <c r="E39" i="54"/>
  <c r="D39" i="54"/>
  <c r="C39" i="54"/>
  <c r="B39" i="54"/>
  <c r="E38" i="54"/>
  <c r="D38" i="54"/>
  <c r="C38" i="54"/>
  <c r="B38" i="54"/>
  <c r="E37" i="54"/>
  <c r="D37" i="54"/>
  <c r="C37" i="54"/>
  <c r="B37" i="54"/>
  <c r="E36" i="54"/>
  <c r="D36" i="54"/>
  <c r="C36" i="54"/>
  <c r="B36" i="54"/>
  <c r="E35" i="54"/>
  <c r="D35" i="54"/>
  <c r="C35" i="54"/>
  <c r="B35" i="54"/>
  <c r="E34" i="54"/>
  <c r="D34" i="54"/>
  <c r="C34" i="54"/>
  <c r="B34" i="54"/>
  <c r="E33" i="54"/>
  <c r="D33" i="54"/>
  <c r="C33" i="54"/>
  <c r="B33" i="54"/>
  <c r="E32" i="54"/>
  <c r="D32" i="54"/>
  <c r="C32" i="54"/>
  <c r="B32" i="54"/>
  <c r="E31" i="54"/>
  <c r="D31" i="54"/>
  <c r="C31" i="54"/>
  <c r="B31" i="54"/>
  <c r="E30" i="54"/>
  <c r="D30" i="54"/>
  <c r="C30" i="54"/>
  <c r="B30" i="54"/>
  <c r="E29" i="54"/>
  <c r="D29" i="54"/>
  <c r="C29" i="54"/>
  <c r="B29" i="54"/>
  <c r="E28" i="54"/>
  <c r="D28" i="54"/>
  <c r="C28" i="54"/>
  <c r="B28" i="54"/>
  <c r="E27" i="54"/>
  <c r="D27" i="54"/>
  <c r="C27" i="54"/>
  <c r="B27" i="54"/>
  <c r="E26" i="54"/>
  <c r="D26" i="54"/>
  <c r="C26" i="54"/>
  <c r="B26" i="54"/>
  <c r="E25" i="54"/>
  <c r="D25" i="54"/>
  <c r="C25" i="54"/>
  <c r="B25" i="54"/>
  <c r="E24" i="54"/>
  <c r="D24" i="54"/>
  <c r="C24" i="54"/>
  <c r="B24" i="54"/>
  <c r="E23" i="54"/>
  <c r="D23" i="54"/>
  <c r="C23" i="54"/>
  <c r="B23" i="54"/>
  <c r="E22" i="54"/>
  <c r="D22" i="54"/>
  <c r="C22" i="54"/>
  <c r="B22" i="54"/>
  <c r="E21" i="54"/>
  <c r="D21" i="54"/>
  <c r="C21" i="54"/>
  <c r="B21" i="54"/>
  <c r="E20" i="54"/>
  <c r="D20" i="54"/>
  <c r="C20" i="54"/>
  <c r="B20" i="54"/>
  <c r="E19" i="54"/>
  <c r="D19" i="54"/>
  <c r="C19" i="54"/>
  <c r="B19" i="54"/>
  <c r="E18" i="54"/>
  <c r="D18" i="54"/>
  <c r="C18" i="54"/>
  <c r="B18" i="54"/>
  <c r="E17" i="54"/>
  <c r="D17" i="54"/>
  <c r="C17" i="54"/>
  <c r="B17" i="54"/>
  <c r="E16" i="54"/>
  <c r="D16" i="54"/>
  <c r="C16" i="54"/>
  <c r="B16" i="54"/>
  <c r="E15" i="54"/>
  <c r="D15" i="54"/>
  <c r="C15" i="54"/>
  <c r="B15" i="54"/>
  <c r="E14" i="54"/>
  <c r="D14" i="54"/>
  <c r="C14" i="54"/>
  <c r="B14" i="54"/>
  <c r="E13" i="54"/>
  <c r="D13" i="54"/>
  <c r="C13" i="54"/>
  <c r="B13" i="54"/>
  <c r="E12" i="54"/>
  <c r="D12" i="54"/>
  <c r="C12" i="54"/>
  <c r="B12" i="54"/>
  <c r="E11" i="54"/>
  <c r="D11" i="54"/>
  <c r="C11" i="54"/>
  <c r="B11" i="54"/>
  <c r="E10" i="54"/>
  <c r="D10" i="54"/>
  <c r="C10" i="54"/>
  <c r="B10" i="54"/>
  <c r="F18" i="48" l="1"/>
  <c r="F19" i="48"/>
  <c r="F20" i="48"/>
  <c r="F21" i="48"/>
  <c r="F17" i="48"/>
  <c r="F16" i="48"/>
  <c r="B16" i="48"/>
  <c r="B18" i="48"/>
  <c r="B19" i="48"/>
  <c r="B20" i="48"/>
  <c r="B21" i="48"/>
  <c r="B17" i="48"/>
  <c r="L25" i="48"/>
  <c r="I21" i="48"/>
  <c r="H12" i="48"/>
  <c r="C12" i="48"/>
  <c r="H11" i="48"/>
  <c r="C11" i="48"/>
  <c r="H10" i="48"/>
  <c r="B8" i="48"/>
  <c r="F18" i="47"/>
  <c r="F19" i="47"/>
  <c r="F20" i="47"/>
  <c r="F21" i="47"/>
  <c r="F17" i="47"/>
  <c r="F16" i="47"/>
  <c r="B16" i="47"/>
  <c r="B18" i="47"/>
  <c r="B19" i="47"/>
  <c r="B20" i="47"/>
  <c r="B21" i="47"/>
  <c r="B17" i="47"/>
  <c r="L24" i="47"/>
  <c r="H12" i="47"/>
  <c r="C12" i="47"/>
  <c r="H11" i="47"/>
  <c r="C11" i="47"/>
  <c r="H10" i="47"/>
  <c r="B8" i="47"/>
  <c r="C12" i="46"/>
  <c r="F18" i="46"/>
  <c r="F19" i="46"/>
  <c r="F20" i="46"/>
  <c r="F21" i="46"/>
  <c r="F17" i="46"/>
  <c r="F16" i="46"/>
  <c r="B16" i="46"/>
  <c r="B17" i="46"/>
  <c r="B18" i="46"/>
  <c r="B19" i="46"/>
  <c r="B20" i="46"/>
  <c r="B21" i="46"/>
  <c r="L24" i="46"/>
  <c r="H12" i="46"/>
  <c r="H11" i="46"/>
  <c r="C11" i="46"/>
  <c r="H10" i="46"/>
  <c r="B8" i="46"/>
  <c r="H12" i="45"/>
  <c r="C12" i="45"/>
  <c r="B8" i="45"/>
  <c r="H10" i="45"/>
  <c r="F17" i="45"/>
  <c r="F18" i="45"/>
  <c r="F19" i="45"/>
  <c r="F20" i="45"/>
  <c r="F21" i="45"/>
  <c r="F16" i="45"/>
  <c r="B17" i="45"/>
  <c r="C17" i="45"/>
  <c r="D17" i="45"/>
  <c r="E17" i="45"/>
  <c r="B18" i="45"/>
  <c r="C18" i="45"/>
  <c r="D18" i="45"/>
  <c r="E18" i="45"/>
  <c r="B19" i="45"/>
  <c r="C19" i="45"/>
  <c r="D19" i="45"/>
  <c r="E19" i="45"/>
  <c r="B20" i="45"/>
  <c r="C20" i="45"/>
  <c r="D20" i="45"/>
  <c r="E20" i="45"/>
  <c r="B21" i="45"/>
  <c r="C21" i="45"/>
  <c r="D21" i="45"/>
  <c r="E21" i="45"/>
  <c r="B16" i="45"/>
  <c r="H11" i="45"/>
  <c r="C11" i="45"/>
  <c r="B6" i="44"/>
  <c r="E16" i="45"/>
  <c r="D16" i="45"/>
  <c r="C16" i="45"/>
  <c r="C26" i="45"/>
  <c r="B35" i="44"/>
  <c r="C27" i="44"/>
  <c r="D17" i="44"/>
  <c r="D16" i="44"/>
  <c r="D15" i="44"/>
  <c r="D14" i="44"/>
  <c r="D13" i="44"/>
  <c r="D12" i="44"/>
  <c r="C12" i="44"/>
  <c r="C19" i="44" l="1"/>
  <c r="C18" i="44"/>
  <c r="J21" i="48"/>
  <c r="F22" i="46"/>
  <c r="F22" i="48"/>
  <c r="H21" i="48"/>
  <c r="F22" i="47"/>
  <c r="L24" i="45"/>
  <c r="F22" i="45"/>
  <c r="E6" i="44"/>
  <c r="C36" i="44"/>
  <c r="E8" i="55" l="1"/>
  <c r="E12" i="55"/>
  <c r="E11" i="55"/>
  <c r="E10" i="55"/>
  <c r="E9" i="55"/>
  <c r="E22" i="55"/>
  <c r="E25" i="55"/>
  <c r="E23" i="55"/>
  <c r="E24" i="55"/>
  <c r="E26" i="55"/>
  <c r="F9" i="55"/>
  <c r="F26" i="55"/>
  <c r="F10" i="55"/>
  <c r="F25" i="55"/>
  <c r="F11" i="55"/>
  <c r="F12" i="55"/>
  <c r="F23" i="55"/>
  <c r="F22" i="55"/>
  <c r="E23" i="58"/>
  <c r="E23" i="69"/>
  <c r="E26" i="67"/>
  <c r="E26" i="84"/>
  <c r="E26" i="73"/>
  <c r="E32" i="63"/>
  <c r="E32" i="80"/>
  <c r="E32" i="76"/>
  <c r="E32" i="56"/>
  <c r="E32" i="66"/>
  <c r="E32" i="74"/>
  <c r="E32" i="82"/>
  <c r="E33" i="70"/>
  <c r="E33" i="72"/>
  <c r="E33" i="83"/>
  <c r="E34" i="58"/>
  <c r="E34" i="69"/>
  <c r="E31" i="70"/>
  <c r="E31" i="72"/>
  <c r="E31" i="83"/>
  <c r="E22" i="86"/>
  <c r="E22" i="61"/>
  <c r="E22" i="71"/>
  <c r="E23" i="75"/>
  <c r="E23" i="62"/>
  <c r="E23" i="68"/>
  <c r="E23" i="78"/>
  <c r="E23" i="81"/>
  <c r="E26" i="61"/>
  <c r="E26" i="71"/>
  <c r="E32" i="65"/>
  <c r="E32" i="64"/>
  <c r="E32" i="88"/>
  <c r="E32" i="60"/>
  <c r="E33" i="59"/>
  <c r="E34" i="75"/>
  <c r="E34" i="62"/>
  <c r="E34" i="68"/>
  <c r="E34" i="78"/>
  <c r="E34" i="81"/>
  <c r="E31" i="59"/>
  <c r="E22" i="63"/>
  <c r="E22" i="80"/>
  <c r="E22" i="76"/>
  <c r="E22" i="56"/>
  <c r="E22" i="66"/>
  <c r="E22" i="74"/>
  <c r="E22" i="82"/>
  <c r="E23" i="67"/>
  <c r="E23" i="84"/>
  <c r="E23" i="73"/>
  <c r="E26" i="63"/>
  <c r="E26" i="80"/>
  <c r="E26" i="76"/>
  <c r="E26" i="56"/>
  <c r="E26" i="66"/>
  <c r="E26" i="74"/>
  <c r="E32" i="70"/>
  <c r="E32" i="72"/>
  <c r="E32" i="83"/>
  <c r="E33" i="58"/>
  <c r="E33" i="69"/>
  <c r="E34" i="67"/>
  <c r="E34" i="84"/>
  <c r="E34" i="73"/>
  <c r="E31" i="58"/>
  <c r="E31" i="69"/>
  <c r="E22" i="65"/>
  <c r="E22" i="64"/>
  <c r="E22" i="88"/>
  <c r="E22" i="60"/>
  <c r="E24" i="81"/>
  <c r="E24" i="78"/>
  <c r="E23" i="86"/>
  <c r="E23" i="61"/>
  <c r="E23" i="71"/>
  <c r="E26" i="64"/>
  <c r="E26" i="88"/>
  <c r="E26" i="60"/>
  <c r="E32" i="59"/>
  <c r="E33" i="75"/>
  <c r="E33" i="62"/>
  <c r="E33" i="68"/>
  <c r="E33" i="78"/>
  <c r="E33" i="81"/>
  <c r="E34" i="86"/>
  <c r="E34" i="61"/>
  <c r="E34" i="71"/>
  <c r="E31" i="75"/>
  <c r="E31" i="62"/>
  <c r="E31" i="68"/>
  <c r="E31" i="78"/>
  <c r="E31" i="81"/>
  <c r="E22" i="70"/>
  <c r="E22" i="72"/>
  <c r="E22" i="83"/>
  <c r="E25" i="82"/>
  <c r="E25" i="74"/>
  <c r="E25" i="66"/>
  <c r="E25" i="56"/>
  <c r="E25" i="76"/>
  <c r="E25" i="80"/>
  <c r="E23" i="63"/>
  <c r="E23" i="80"/>
  <c r="E23" i="76"/>
  <c r="E23" i="56"/>
  <c r="E23" i="66"/>
  <c r="E23" i="74"/>
  <c r="E23" i="82"/>
  <c r="E26" i="70"/>
  <c r="E26" i="72"/>
  <c r="E26" i="83"/>
  <c r="E32" i="58"/>
  <c r="E32" i="69"/>
  <c r="E33" i="67"/>
  <c r="E33" i="84"/>
  <c r="E33" i="73"/>
  <c r="E34" i="63"/>
  <c r="E34" i="80"/>
  <c r="E34" i="76"/>
  <c r="E34" i="56"/>
  <c r="E34" i="66"/>
  <c r="E34" i="74"/>
  <c r="E34" i="82"/>
  <c r="E31" i="67"/>
  <c r="E31" i="84"/>
  <c r="E31" i="73"/>
  <c r="E22" i="59"/>
  <c r="E23" i="65"/>
  <c r="E23" i="64"/>
  <c r="E23" i="88"/>
  <c r="E23" i="60"/>
  <c r="E32" i="75"/>
  <c r="E32" i="62"/>
  <c r="E32" i="68"/>
  <c r="E32" i="78"/>
  <c r="E32" i="81"/>
  <c r="E33" i="86"/>
  <c r="E33" i="61"/>
  <c r="E33" i="71"/>
  <c r="E34" i="65"/>
  <c r="E34" i="64"/>
  <c r="E34" i="88"/>
  <c r="E34" i="60"/>
  <c r="E31" i="86"/>
  <c r="E31" i="61"/>
  <c r="E31" i="71"/>
  <c r="E22" i="58"/>
  <c r="E22" i="69"/>
  <c r="E23" i="70"/>
  <c r="E23" i="72"/>
  <c r="E23" i="83"/>
  <c r="E26" i="69"/>
  <c r="E32" i="67"/>
  <c r="E32" i="84"/>
  <c r="E32" i="73"/>
  <c r="E33" i="63"/>
  <c r="E33" i="80"/>
  <c r="E33" i="76"/>
  <c r="E33" i="56"/>
  <c r="E33" i="66"/>
  <c r="E33" i="74"/>
  <c r="E33" i="82"/>
  <c r="E34" i="70"/>
  <c r="E34" i="72"/>
  <c r="E34" i="83"/>
  <c r="E31" i="63"/>
  <c r="E31" i="80"/>
  <c r="E31" i="76"/>
  <c r="E31" i="56"/>
  <c r="E31" i="66"/>
  <c r="E31" i="74"/>
  <c r="E22" i="75"/>
  <c r="E22" i="62"/>
  <c r="E22" i="68"/>
  <c r="E22" i="78"/>
  <c r="E22" i="81"/>
  <c r="E23" i="59"/>
  <c r="E26" i="62"/>
  <c r="E26" i="68"/>
  <c r="E26" i="78"/>
  <c r="E26" i="81"/>
  <c r="E32" i="86"/>
  <c r="E32" i="61"/>
  <c r="E32" i="71"/>
  <c r="E33" i="65"/>
  <c r="E33" i="64"/>
  <c r="E33" i="88"/>
  <c r="E33" i="60"/>
  <c r="E34" i="59"/>
  <c r="E31" i="65"/>
  <c r="E31" i="64"/>
  <c r="E31" i="88"/>
  <c r="E31" i="60"/>
  <c r="E22" i="67"/>
  <c r="E22" i="84"/>
  <c r="E22" i="73"/>
  <c r="E24" i="63"/>
  <c r="E24" i="80"/>
  <c r="E24" i="76"/>
  <c r="E24" i="56"/>
  <c r="E24" i="66"/>
  <c r="E24" i="74"/>
  <c r="E24" i="82"/>
  <c r="E25" i="65"/>
  <c r="E25" i="64"/>
  <c r="E25" i="88"/>
  <c r="E25" i="60"/>
  <c r="E24" i="65"/>
  <c r="E24" i="64"/>
  <c r="E24" i="88"/>
  <c r="E24" i="60"/>
  <c r="E25" i="70"/>
  <c r="E25" i="72"/>
  <c r="E25" i="83"/>
  <c r="E24" i="70"/>
  <c r="E24" i="72"/>
  <c r="E24" i="83"/>
  <c r="E25" i="59"/>
  <c r="E24" i="59"/>
  <c r="E25" i="58"/>
  <c r="E25" i="69"/>
  <c r="E24" i="58"/>
  <c r="E24" i="69"/>
  <c r="E25" i="75"/>
  <c r="E25" i="62"/>
  <c r="E25" i="68"/>
  <c r="E25" i="78"/>
  <c r="E25" i="81"/>
  <c r="E24" i="75"/>
  <c r="E24" i="62"/>
  <c r="E24" i="68"/>
  <c r="E25" i="67"/>
  <c r="E25" i="84"/>
  <c r="E25" i="73"/>
  <c r="E24" i="67"/>
  <c r="E24" i="84"/>
  <c r="E24" i="73"/>
  <c r="E25" i="86"/>
  <c r="E25" i="61"/>
  <c r="E25" i="71"/>
  <c r="E24" i="86"/>
  <c r="E24" i="61"/>
  <c r="E24" i="71"/>
  <c r="E25" i="63"/>
  <c r="G31" i="88" l="1"/>
  <c r="H31" i="88" s="1"/>
  <c r="F31" i="88"/>
  <c r="E26" i="86"/>
  <c r="G33" i="88"/>
  <c r="H33" i="88" s="1"/>
  <c r="F33" i="88"/>
  <c r="E22" i="85"/>
  <c r="E22" i="87"/>
  <c r="G26" i="84"/>
  <c r="H26" i="84" s="1"/>
  <c r="F26" i="84"/>
  <c r="G23" i="83"/>
  <c r="H23" i="83" s="1"/>
  <c r="F23" i="83"/>
  <c r="G23" i="88"/>
  <c r="H23" i="88" s="1"/>
  <c r="F23" i="88"/>
  <c r="G26" i="83"/>
  <c r="H26" i="83" s="1"/>
  <c r="F26" i="83"/>
  <c r="E23" i="87"/>
  <c r="E23" i="85"/>
  <c r="G22" i="86"/>
  <c r="H22" i="86" s="1"/>
  <c r="F22" i="86"/>
  <c r="G31" i="83"/>
  <c r="H31" i="83" s="1"/>
  <c r="F31" i="83"/>
  <c r="G33" i="83"/>
  <c r="H33" i="83" s="1"/>
  <c r="F33" i="83"/>
  <c r="G34" i="88"/>
  <c r="H34" i="88" s="1"/>
  <c r="F34" i="88"/>
  <c r="F23" i="86"/>
  <c r="G23" i="86"/>
  <c r="H23" i="86" s="1"/>
  <c r="E24" i="85"/>
  <c r="E24" i="87"/>
  <c r="G24" i="84"/>
  <c r="H24" i="84" s="1"/>
  <c r="F24" i="84"/>
  <c r="F25" i="88"/>
  <c r="G25" i="88"/>
  <c r="H25" i="88" s="1"/>
  <c r="G34" i="83"/>
  <c r="H34" i="83" s="1"/>
  <c r="F34" i="83"/>
  <c r="G24" i="88"/>
  <c r="H24" i="88" s="1"/>
  <c r="F24" i="88"/>
  <c r="E32" i="87"/>
  <c r="E32" i="85"/>
  <c r="G34" i="86"/>
  <c r="H34" i="86" s="1"/>
  <c r="F34" i="86"/>
  <c r="F23" i="84"/>
  <c r="G23" i="84"/>
  <c r="H23" i="84" s="1"/>
  <c r="G32" i="86"/>
  <c r="H32" i="86" s="1"/>
  <c r="F32" i="86"/>
  <c r="F32" i="84"/>
  <c r="G32" i="84"/>
  <c r="H32" i="84" s="1"/>
  <c r="G22" i="88"/>
  <c r="H22" i="88" s="1"/>
  <c r="F22" i="88"/>
  <c r="E25" i="85"/>
  <c r="E25" i="87"/>
  <c r="G22" i="84"/>
  <c r="H22" i="84" s="1"/>
  <c r="F22" i="84"/>
  <c r="E31" i="85"/>
  <c r="E31" i="87"/>
  <c r="E33" i="85"/>
  <c r="E33" i="87"/>
  <c r="E34" i="85"/>
  <c r="E34" i="87"/>
  <c r="F25" i="86"/>
  <c r="G25" i="86"/>
  <c r="H25" i="86" s="1"/>
  <c r="G25" i="83"/>
  <c r="H25" i="83" s="1"/>
  <c r="F25" i="83"/>
  <c r="G31" i="86"/>
  <c r="H31" i="86" s="1"/>
  <c r="F31" i="86"/>
  <c r="G33" i="86"/>
  <c r="H33" i="86" s="1"/>
  <c r="F33" i="86"/>
  <c r="F31" i="84"/>
  <c r="G31" i="84"/>
  <c r="H31" i="84" s="1"/>
  <c r="G33" i="84"/>
  <c r="H33" i="84" s="1"/>
  <c r="F33" i="84"/>
  <c r="G26" i="88"/>
  <c r="H26" i="88" s="1"/>
  <c r="F26" i="88"/>
  <c r="G32" i="83"/>
  <c r="H32" i="83" s="1"/>
  <c r="F32" i="83"/>
  <c r="G24" i="86"/>
  <c r="H24" i="86" s="1"/>
  <c r="F24" i="86"/>
  <c r="G25" i="84"/>
  <c r="H25" i="84" s="1"/>
  <c r="F25" i="84"/>
  <c r="G24" i="83"/>
  <c r="H24" i="83" s="1"/>
  <c r="F24" i="83"/>
  <c r="G22" i="83"/>
  <c r="H22" i="83" s="1"/>
  <c r="F22" i="83"/>
  <c r="F34" i="84"/>
  <c r="G34" i="84"/>
  <c r="H34" i="84" s="1"/>
  <c r="G32" i="88"/>
  <c r="H32" i="88" s="1"/>
  <c r="F32" i="88"/>
  <c r="E26" i="85"/>
  <c r="E26" i="87"/>
  <c r="F34" i="82"/>
  <c r="G34" i="82"/>
  <c r="H34" i="82" s="1"/>
  <c r="G24" i="82"/>
  <c r="H24" i="82" s="1"/>
  <c r="F24" i="82"/>
  <c r="F23" i="82"/>
  <c r="G23" i="82"/>
  <c r="H23" i="82" s="1"/>
  <c r="F32" i="82"/>
  <c r="G32" i="82"/>
  <c r="H32" i="82" s="1"/>
  <c r="F25" i="82"/>
  <c r="G25" i="82"/>
  <c r="H25" i="82" s="1"/>
  <c r="E26" i="44"/>
  <c r="G26" i="44" s="1"/>
  <c r="H26" i="44" s="1"/>
  <c r="E26" i="82"/>
  <c r="E31" i="44"/>
  <c r="F31" i="44" s="1"/>
  <c r="E31" i="82"/>
  <c r="F33" i="82"/>
  <c r="G33" i="82"/>
  <c r="H33" i="82" s="1"/>
  <c r="G22" i="82"/>
  <c r="H22" i="82" s="1"/>
  <c r="F22" i="82"/>
  <c r="G32" i="76"/>
  <c r="H32" i="76" s="1"/>
  <c r="F32" i="76"/>
  <c r="G24" i="80"/>
  <c r="H24" i="80" s="1"/>
  <c r="F24" i="80"/>
  <c r="G31" i="76"/>
  <c r="H31" i="76" s="1"/>
  <c r="F31" i="76"/>
  <c r="G32" i="81"/>
  <c r="H32" i="81" s="1"/>
  <c r="F32" i="81"/>
  <c r="G23" i="80"/>
  <c r="H23" i="80" s="1"/>
  <c r="F23" i="80"/>
  <c r="G31" i="78"/>
  <c r="H31" i="78" s="1"/>
  <c r="F31" i="78"/>
  <c r="G33" i="78"/>
  <c r="H33" i="78" s="1"/>
  <c r="F33" i="78"/>
  <c r="G26" i="76"/>
  <c r="H26" i="76" s="1"/>
  <c r="F26" i="76"/>
  <c r="G32" i="80"/>
  <c r="H32" i="80" s="1"/>
  <c r="F32" i="80"/>
  <c r="G31" i="80"/>
  <c r="H31" i="80" s="1"/>
  <c r="F31" i="80"/>
  <c r="G33" i="76"/>
  <c r="H33" i="76" s="1"/>
  <c r="F33" i="76"/>
  <c r="G25" i="80"/>
  <c r="H25" i="80" s="1"/>
  <c r="F25" i="80"/>
  <c r="G26" i="80"/>
  <c r="H26" i="80" s="1"/>
  <c r="F26" i="80"/>
  <c r="E34" i="77"/>
  <c r="G24" i="81"/>
  <c r="H24" i="81" s="1"/>
  <c r="F24" i="81"/>
  <c r="G33" i="80"/>
  <c r="H33" i="80" s="1"/>
  <c r="F33" i="80"/>
  <c r="G25" i="76"/>
  <c r="H25" i="76" s="1"/>
  <c r="F25" i="76"/>
  <c r="G22" i="76"/>
  <c r="H22" i="76" s="1"/>
  <c r="F22" i="76"/>
  <c r="F32" i="78"/>
  <c r="G32" i="78"/>
  <c r="H32" i="78" s="1"/>
  <c r="G34" i="76"/>
  <c r="H34" i="76" s="1"/>
  <c r="F34" i="76"/>
  <c r="G22" i="80"/>
  <c r="H22" i="80" s="1"/>
  <c r="F22" i="80"/>
  <c r="G23" i="81"/>
  <c r="H23" i="81" s="1"/>
  <c r="F23" i="81"/>
  <c r="G34" i="80"/>
  <c r="H34" i="80" s="1"/>
  <c r="F34" i="80"/>
  <c r="E23" i="77"/>
  <c r="E21" i="77"/>
  <c r="G25" i="81"/>
  <c r="H25" i="81" s="1"/>
  <c r="F25" i="81"/>
  <c r="G34" i="81"/>
  <c r="H34" i="81" s="1"/>
  <c r="F34" i="81"/>
  <c r="G26" i="81"/>
  <c r="H26" i="81" s="1"/>
  <c r="F26" i="81"/>
  <c r="G23" i="78"/>
  <c r="H23" i="78" s="1"/>
  <c r="F23" i="78"/>
  <c r="G22" i="81"/>
  <c r="H22" i="81" s="1"/>
  <c r="F22" i="81"/>
  <c r="E31" i="77"/>
  <c r="E25" i="77"/>
  <c r="G25" i="78"/>
  <c r="H25" i="78" s="1"/>
  <c r="F25" i="78"/>
  <c r="G24" i="78"/>
  <c r="H24" i="78" s="1"/>
  <c r="F24" i="78"/>
  <c r="F34" i="78"/>
  <c r="G34" i="78"/>
  <c r="H34" i="78" s="1"/>
  <c r="E22" i="77"/>
  <c r="G24" i="76"/>
  <c r="H24" i="76" s="1"/>
  <c r="F24" i="76"/>
  <c r="G23" i="76"/>
  <c r="H23" i="76" s="1"/>
  <c r="F23" i="76"/>
  <c r="E24" i="77"/>
  <c r="G26" i="78"/>
  <c r="H26" i="78" s="1"/>
  <c r="F26" i="78"/>
  <c r="G31" i="81"/>
  <c r="H31" i="81" s="1"/>
  <c r="F31" i="81"/>
  <c r="G33" i="81"/>
  <c r="H33" i="81" s="1"/>
  <c r="F33" i="81"/>
  <c r="E26" i="77"/>
  <c r="E33" i="77"/>
  <c r="G22" i="78"/>
  <c r="H22" i="78" s="1"/>
  <c r="F22" i="78"/>
  <c r="E32" i="77"/>
  <c r="G24" i="73"/>
  <c r="H24" i="73" s="1"/>
  <c r="F24" i="73"/>
  <c r="G32" i="75"/>
  <c r="H32" i="75" s="1"/>
  <c r="F32" i="75"/>
  <c r="F25" i="72"/>
  <c r="G25" i="72"/>
  <c r="H25" i="72" s="1"/>
  <c r="G32" i="72"/>
  <c r="H32" i="72" s="1"/>
  <c r="F32" i="72"/>
  <c r="G24" i="72"/>
  <c r="H24" i="72" s="1"/>
  <c r="F24" i="72"/>
  <c r="G22" i="72"/>
  <c r="H22" i="72" s="1"/>
  <c r="F22" i="72"/>
  <c r="G23" i="73"/>
  <c r="H23" i="73" s="1"/>
  <c r="F23" i="73"/>
  <c r="G32" i="73"/>
  <c r="H32" i="73" s="1"/>
  <c r="F32" i="73"/>
  <c r="G23" i="75"/>
  <c r="H23" i="75" s="1"/>
  <c r="F23" i="75"/>
  <c r="G22" i="73"/>
  <c r="H22" i="73" s="1"/>
  <c r="F22" i="73"/>
  <c r="G25" i="75"/>
  <c r="H25" i="75" s="1"/>
  <c r="F25" i="75"/>
  <c r="G31" i="73"/>
  <c r="H31" i="73" s="1"/>
  <c r="F31" i="73"/>
  <c r="G33" i="73"/>
  <c r="H33" i="73" s="1"/>
  <c r="F33" i="73"/>
  <c r="G25" i="74"/>
  <c r="H25" i="74" s="1"/>
  <c r="F25" i="74"/>
  <c r="G34" i="75"/>
  <c r="H34" i="75" s="1"/>
  <c r="F34" i="75"/>
  <c r="G25" i="73"/>
  <c r="H25" i="73" s="1"/>
  <c r="F25" i="73"/>
  <c r="G24" i="74"/>
  <c r="H24" i="74" s="1"/>
  <c r="F24" i="74"/>
  <c r="E26" i="75"/>
  <c r="F23" i="72"/>
  <c r="G23" i="72"/>
  <c r="H23" i="72" s="1"/>
  <c r="G26" i="72"/>
  <c r="H26" i="72" s="1"/>
  <c r="F26" i="72"/>
  <c r="G23" i="74"/>
  <c r="H23" i="74" s="1"/>
  <c r="F23" i="74"/>
  <c r="G34" i="73"/>
  <c r="H34" i="73" s="1"/>
  <c r="F34" i="73"/>
  <c r="G31" i="72"/>
  <c r="H31" i="72" s="1"/>
  <c r="F31" i="72"/>
  <c r="G33" i="72"/>
  <c r="H33" i="72" s="1"/>
  <c r="F33" i="72"/>
  <c r="G32" i="74"/>
  <c r="H32" i="74" s="1"/>
  <c r="F32" i="74"/>
  <c r="G34" i="74"/>
  <c r="H34" i="74" s="1"/>
  <c r="F34" i="74"/>
  <c r="G24" i="75"/>
  <c r="H24" i="75" s="1"/>
  <c r="F24" i="75"/>
  <c r="G22" i="75"/>
  <c r="H22" i="75" s="1"/>
  <c r="F22" i="75"/>
  <c r="G31" i="74"/>
  <c r="H31" i="74" s="1"/>
  <c r="F31" i="74"/>
  <c r="G26" i="74"/>
  <c r="H26" i="74" s="1"/>
  <c r="F26" i="74"/>
  <c r="G34" i="72"/>
  <c r="H34" i="72" s="1"/>
  <c r="F34" i="72"/>
  <c r="G33" i="74"/>
  <c r="H33" i="74" s="1"/>
  <c r="F33" i="74"/>
  <c r="G31" i="75"/>
  <c r="H31" i="75" s="1"/>
  <c r="F31" i="75"/>
  <c r="G33" i="75"/>
  <c r="H33" i="75" s="1"/>
  <c r="F33" i="75"/>
  <c r="G22" i="74"/>
  <c r="H22" i="74" s="1"/>
  <c r="F22" i="74"/>
  <c r="G26" i="73"/>
  <c r="H26" i="73" s="1"/>
  <c r="F26" i="73"/>
  <c r="G32" i="69"/>
  <c r="H32" i="69" s="1"/>
  <c r="F32" i="69"/>
  <c r="G22" i="67"/>
  <c r="H22" i="67" s="1"/>
  <c r="F22" i="67"/>
  <c r="G26" i="71"/>
  <c r="H26" i="71" s="1"/>
  <c r="F26" i="71"/>
  <c r="G25" i="67"/>
  <c r="H25" i="67" s="1"/>
  <c r="F25" i="67"/>
  <c r="G26" i="68"/>
  <c r="H26" i="68" s="1"/>
  <c r="F26" i="68"/>
  <c r="G34" i="67"/>
  <c r="H34" i="67" s="1"/>
  <c r="F34" i="67"/>
  <c r="G33" i="69"/>
  <c r="H33" i="69" s="1"/>
  <c r="F33" i="69"/>
  <c r="G22" i="71"/>
  <c r="H22" i="71" s="1"/>
  <c r="F22" i="71"/>
  <c r="G34" i="70"/>
  <c r="H34" i="70" s="1"/>
  <c r="F34" i="70"/>
  <c r="G24" i="68"/>
  <c r="H24" i="68" s="1"/>
  <c r="F24" i="68"/>
  <c r="G22" i="68"/>
  <c r="H22" i="68" s="1"/>
  <c r="F22" i="68"/>
  <c r="G23" i="71"/>
  <c r="H23" i="71" s="1"/>
  <c r="F23" i="71"/>
  <c r="G31" i="69"/>
  <c r="H31" i="69" s="1"/>
  <c r="F31" i="69"/>
  <c r="G24" i="69"/>
  <c r="H24" i="69" s="1"/>
  <c r="F24" i="69"/>
  <c r="G31" i="67"/>
  <c r="H31" i="67" s="1"/>
  <c r="F31" i="67"/>
  <c r="G25" i="68"/>
  <c r="H25" i="68" s="1"/>
  <c r="F25" i="68"/>
  <c r="G24" i="71"/>
  <c r="H24" i="71" s="1"/>
  <c r="F24" i="71"/>
  <c r="G31" i="68"/>
  <c r="H31" i="68" s="1"/>
  <c r="F31" i="68"/>
  <c r="G33" i="68"/>
  <c r="H33" i="68" s="1"/>
  <c r="F33" i="68"/>
  <c r="G26" i="67"/>
  <c r="H26" i="67" s="1"/>
  <c r="F26" i="67"/>
  <c r="G23" i="69"/>
  <c r="H23" i="69" s="1"/>
  <c r="F23" i="69"/>
  <c r="F25" i="70"/>
  <c r="G25" i="70"/>
  <c r="H25" i="70" s="1"/>
  <c r="G34" i="71"/>
  <c r="H34" i="71" s="1"/>
  <c r="F34" i="71"/>
  <c r="G32" i="70"/>
  <c r="H32" i="70" s="1"/>
  <c r="F32" i="70"/>
  <c r="G34" i="68"/>
  <c r="H34" i="68" s="1"/>
  <c r="F34" i="68"/>
  <c r="G24" i="70"/>
  <c r="H24" i="70" s="1"/>
  <c r="F24" i="70"/>
  <c r="G32" i="71"/>
  <c r="H32" i="71" s="1"/>
  <c r="F32" i="71"/>
  <c r="G26" i="69"/>
  <c r="H26" i="69" s="1"/>
  <c r="F26" i="69"/>
  <c r="G22" i="69"/>
  <c r="H22" i="69" s="1"/>
  <c r="F22" i="69"/>
  <c r="G22" i="70"/>
  <c r="H22" i="70" s="1"/>
  <c r="F22" i="70"/>
  <c r="G34" i="69"/>
  <c r="H34" i="69" s="1"/>
  <c r="F34" i="69"/>
  <c r="G24" i="67"/>
  <c r="H24" i="67" s="1"/>
  <c r="F24" i="67"/>
  <c r="G32" i="68"/>
  <c r="H32" i="68" s="1"/>
  <c r="F32" i="68"/>
  <c r="G25" i="71"/>
  <c r="H25" i="71" s="1"/>
  <c r="F25" i="71"/>
  <c r="G31" i="71"/>
  <c r="H31" i="71" s="1"/>
  <c r="F31" i="71"/>
  <c r="G33" i="71"/>
  <c r="H33" i="71" s="1"/>
  <c r="F33" i="71"/>
  <c r="G25" i="69"/>
  <c r="H25" i="69" s="1"/>
  <c r="F25" i="69"/>
  <c r="G23" i="67"/>
  <c r="H23" i="67" s="1"/>
  <c r="F23" i="67"/>
  <c r="G33" i="67"/>
  <c r="H33" i="67" s="1"/>
  <c r="F33" i="67"/>
  <c r="G32" i="67"/>
  <c r="H32" i="67" s="1"/>
  <c r="F32" i="67"/>
  <c r="F23" i="70"/>
  <c r="G23" i="70"/>
  <c r="H23" i="70" s="1"/>
  <c r="G26" i="70"/>
  <c r="H26" i="70" s="1"/>
  <c r="F26" i="70"/>
  <c r="G23" i="68"/>
  <c r="H23" i="68" s="1"/>
  <c r="F23" i="68"/>
  <c r="F31" i="70"/>
  <c r="G31" i="70"/>
  <c r="H31" i="70" s="1"/>
  <c r="F33" i="70"/>
  <c r="G33" i="70"/>
  <c r="H33" i="70" s="1"/>
  <c r="G22" i="66"/>
  <c r="H22" i="66" s="1"/>
  <c r="F22" i="66"/>
  <c r="G25" i="66"/>
  <c r="H25" i="66" s="1"/>
  <c r="F25" i="66"/>
  <c r="G34" i="66"/>
  <c r="H34" i="66" s="1"/>
  <c r="F34" i="66"/>
  <c r="G24" i="66"/>
  <c r="H24" i="66" s="1"/>
  <c r="F24" i="66"/>
  <c r="G23" i="66"/>
  <c r="H23" i="66" s="1"/>
  <c r="F23" i="66"/>
  <c r="F32" i="66"/>
  <c r="G32" i="66"/>
  <c r="H32" i="66" s="1"/>
  <c r="G31" i="66"/>
  <c r="H31" i="66" s="1"/>
  <c r="F31" i="66"/>
  <c r="G26" i="66"/>
  <c r="H26" i="66" s="1"/>
  <c r="F26" i="66"/>
  <c r="G33" i="66"/>
  <c r="H33" i="66" s="1"/>
  <c r="F33" i="66"/>
  <c r="G25" i="61"/>
  <c r="H25" i="61" s="1"/>
  <c r="F25" i="61"/>
  <c r="F25" i="65"/>
  <c r="G25" i="65"/>
  <c r="H25" i="65" s="1"/>
  <c r="G31" i="61"/>
  <c r="H31" i="61" s="1"/>
  <c r="F31" i="61"/>
  <c r="G33" i="61"/>
  <c r="H33" i="61" s="1"/>
  <c r="F33" i="61"/>
  <c r="G23" i="62"/>
  <c r="H23" i="62" s="1"/>
  <c r="F23" i="62"/>
  <c r="G34" i="65"/>
  <c r="H34" i="65" s="1"/>
  <c r="F34" i="65"/>
  <c r="F25" i="63"/>
  <c r="G25" i="63"/>
  <c r="H25" i="63" s="1"/>
  <c r="G24" i="63"/>
  <c r="H24" i="63" s="1"/>
  <c r="F24" i="63"/>
  <c r="G23" i="63"/>
  <c r="H23" i="63" s="1"/>
  <c r="F23" i="63"/>
  <c r="G26" i="64"/>
  <c r="H26" i="64" s="1"/>
  <c r="F26" i="64"/>
  <c r="G22" i="65"/>
  <c r="H22" i="65" s="1"/>
  <c r="F22" i="65"/>
  <c r="F32" i="63"/>
  <c r="G32" i="63"/>
  <c r="H32" i="63" s="1"/>
  <c r="G25" i="62"/>
  <c r="H25" i="62" s="1"/>
  <c r="F25" i="62"/>
  <c r="G24" i="65"/>
  <c r="H24" i="65" s="1"/>
  <c r="F24" i="65"/>
  <c r="G31" i="63"/>
  <c r="H31" i="63" s="1"/>
  <c r="F31" i="63"/>
  <c r="G26" i="63"/>
  <c r="H26" i="63" s="1"/>
  <c r="F26" i="63"/>
  <c r="G34" i="62"/>
  <c r="H34" i="62" s="1"/>
  <c r="F34" i="62"/>
  <c r="G26" i="62"/>
  <c r="H26" i="62" s="1"/>
  <c r="F26" i="62"/>
  <c r="G33" i="63"/>
  <c r="H33" i="63" s="1"/>
  <c r="F33" i="63"/>
  <c r="G32" i="64"/>
  <c r="H32" i="64" s="1"/>
  <c r="F32" i="64"/>
  <c r="G26" i="61"/>
  <c r="H26" i="61" s="1"/>
  <c r="F26" i="61"/>
  <c r="G24" i="62"/>
  <c r="H24" i="62" s="1"/>
  <c r="F24" i="62"/>
  <c r="G31" i="64"/>
  <c r="H31" i="64" s="1"/>
  <c r="F31" i="64"/>
  <c r="G22" i="62"/>
  <c r="H22" i="62" s="1"/>
  <c r="F22" i="62"/>
  <c r="G22" i="63"/>
  <c r="H22" i="63" s="1"/>
  <c r="F22" i="63"/>
  <c r="G33" i="64"/>
  <c r="H33" i="64" s="1"/>
  <c r="F33" i="64"/>
  <c r="F34" i="63"/>
  <c r="G34" i="63"/>
  <c r="H34" i="63" s="1"/>
  <c r="E26" i="65"/>
  <c r="G22" i="61"/>
  <c r="H22" i="61" s="1"/>
  <c r="F22" i="61"/>
  <c r="F23" i="64"/>
  <c r="G23" i="64"/>
  <c r="H23" i="64" s="1"/>
  <c r="G31" i="62"/>
  <c r="H31" i="62" s="1"/>
  <c r="F31" i="62"/>
  <c r="G33" i="62"/>
  <c r="H33" i="62" s="1"/>
  <c r="F33" i="62"/>
  <c r="G23" i="61"/>
  <c r="H23" i="61" s="1"/>
  <c r="F23" i="61"/>
  <c r="G34" i="64"/>
  <c r="H34" i="64" s="1"/>
  <c r="F34" i="64"/>
  <c r="G32" i="65"/>
  <c r="H32" i="65" s="1"/>
  <c r="F32" i="65"/>
  <c r="G24" i="61"/>
  <c r="H24" i="61" s="1"/>
  <c r="F24" i="61"/>
  <c r="F25" i="64"/>
  <c r="G25" i="64"/>
  <c r="H25" i="64" s="1"/>
  <c r="G31" i="65"/>
  <c r="H31" i="65" s="1"/>
  <c r="F31" i="65"/>
  <c r="G33" i="65"/>
  <c r="H33" i="65" s="1"/>
  <c r="F33" i="65"/>
  <c r="G32" i="62"/>
  <c r="H32" i="62" s="1"/>
  <c r="F32" i="62"/>
  <c r="G34" i="61"/>
  <c r="H34" i="61" s="1"/>
  <c r="F34" i="61"/>
  <c r="F22" i="64"/>
  <c r="G22" i="64"/>
  <c r="H22" i="64" s="1"/>
  <c r="G24" i="64"/>
  <c r="H24" i="64" s="1"/>
  <c r="F24" i="64"/>
  <c r="G32" i="61"/>
  <c r="H32" i="61" s="1"/>
  <c r="F32" i="61"/>
  <c r="F23" i="65"/>
  <c r="G23" i="65"/>
  <c r="H23" i="65" s="1"/>
  <c r="G25" i="58"/>
  <c r="H25" i="58" s="1"/>
  <c r="F25" i="58"/>
  <c r="G23" i="60"/>
  <c r="H23" i="60" s="1"/>
  <c r="F23" i="60"/>
  <c r="G22" i="56"/>
  <c r="H22" i="56" s="1"/>
  <c r="F22" i="56"/>
  <c r="G34" i="60"/>
  <c r="H34" i="60" s="1"/>
  <c r="F34" i="60"/>
  <c r="G34" i="56"/>
  <c r="H34" i="56" s="1"/>
  <c r="F34" i="56"/>
  <c r="G25" i="60"/>
  <c r="H25" i="60" s="1"/>
  <c r="F25" i="60"/>
  <c r="G31" i="59"/>
  <c r="H31" i="59" s="1"/>
  <c r="F31" i="59"/>
  <c r="G24" i="58"/>
  <c r="H24" i="58" s="1"/>
  <c r="F24" i="58"/>
  <c r="G32" i="58"/>
  <c r="H32" i="58" s="1"/>
  <c r="F32" i="58"/>
  <c r="G22" i="60"/>
  <c r="H22" i="60" s="1"/>
  <c r="F22" i="60"/>
  <c r="G33" i="59"/>
  <c r="H33" i="59" s="1"/>
  <c r="F33" i="59"/>
  <c r="G24" i="60"/>
  <c r="H24" i="60" s="1"/>
  <c r="F24" i="60"/>
  <c r="G23" i="59"/>
  <c r="H23" i="59" s="1"/>
  <c r="F23" i="59"/>
  <c r="G25" i="56"/>
  <c r="H25" i="56" s="1"/>
  <c r="F25" i="56"/>
  <c r="G33" i="58"/>
  <c r="H33" i="58" s="1"/>
  <c r="F33" i="58"/>
  <c r="G25" i="59"/>
  <c r="H25" i="59" s="1"/>
  <c r="F25" i="59"/>
  <c r="G34" i="59"/>
  <c r="H34" i="59" s="1"/>
  <c r="F34" i="59"/>
  <c r="G31" i="58"/>
  <c r="H31" i="58" s="1"/>
  <c r="F31" i="58"/>
  <c r="G24" i="59"/>
  <c r="H24" i="59" s="1"/>
  <c r="F24" i="59"/>
  <c r="E26" i="59"/>
  <c r="G32" i="44"/>
  <c r="H32" i="44" s="1"/>
  <c r="G33" i="56"/>
  <c r="H33" i="56" s="1"/>
  <c r="F33" i="56"/>
  <c r="G22" i="59"/>
  <c r="H22" i="59" s="1"/>
  <c r="F22" i="59"/>
  <c r="G32" i="59"/>
  <c r="H32" i="59" s="1"/>
  <c r="F32" i="59"/>
  <c r="G26" i="60"/>
  <c r="H26" i="60" s="1"/>
  <c r="F26" i="60"/>
  <c r="G23" i="58"/>
  <c r="H23" i="58" s="1"/>
  <c r="F23" i="58"/>
  <c r="G33" i="60"/>
  <c r="H33" i="60" s="1"/>
  <c r="F33" i="60"/>
  <c r="E33" i="44"/>
  <c r="G33" i="44" s="1"/>
  <c r="H33" i="44" s="1"/>
  <c r="G24" i="56"/>
  <c r="H24" i="56" s="1"/>
  <c r="F24" i="56"/>
  <c r="E26" i="58"/>
  <c r="G22" i="58"/>
  <c r="H22" i="58" s="1"/>
  <c r="F22" i="58"/>
  <c r="G23" i="56"/>
  <c r="H23" i="56" s="1"/>
  <c r="F23" i="56"/>
  <c r="G32" i="60"/>
  <c r="H32" i="60" s="1"/>
  <c r="F32" i="60"/>
  <c r="F34" i="58"/>
  <c r="G34" i="58"/>
  <c r="H34" i="58" s="1"/>
  <c r="G32" i="56"/>
  <c r="H32" i="56" s="1"/>
  <c r="F32" i="56"/>
  <c r="G31" i="60"/>
  <c r="H31" i="60" s="1"/>
  <c r="F31" i="60"/>
  <c r="G31" i="56"/>
  <c r="H31" i="56" s="1"/>
  <c r="F31" i="56"/>
  <c r="E34" i="44"/>
  <c r="F34" i="44" s="1"/>
  <c r="G26" i="56"/>
  <c r="H26" i="56" s="1"/>
  <c r="F26" i="56"/>
  <c r="F8" i="55"/>
  <c r="H8" i="55" s="1"/>
  <c r="I8" i="55" s="1"/>
  <c r="E13" i="55"/>
  <c r="E27" i="55"/>
  <c r="H25" i="55"/>
  <c r="I25" i="55" s="1"/>
  <c r="G25" i="55"/>
  <c r="H23" i="55"/>
  <c r="I23" i="55" s="1"/>
  <c r="G23" i="55"/>
  <c r="G22" i="55"/>
  <c r="H22" i="55"/>
  <c r="I22" i="55" s="1"/>
  <c r="G12" i="55"/>
  <c r="H12" i="55"/>
  <c r="I12" i="55" s="1"/>
  <c r="H10" i="55"/>
  <c r="I10" i="55" s="1"/>
  <c r="G10" i="55"/>
  <c r="G26" i="55"/>
  <c r="H26" i="55"/>
  <c r="I26" i="55" s="1"/>
  <c r="H11" i="55"/>
  <c r="I11" i="55" s="1"/>
  <c r="G11" i="55"/>
  <c r="G9" i="55"/>
  <c r="H9" i="55"/>
  <c r="I9" i="55" s="1"/>
  <c r="F24" i="55"/>
  <c r="G19" i="47"/>
  <c r="I19" i="47" s="1"/>
  <c r="J19" i="47" s="1"/>
  <c r="G20" i="46"/>
  <c r="I20" i="46" s="1"/>
  <c r="J20" i="46" s="1"/>
  <c r="G18" i="47"/>
  <c r="H18" i="47" s="1"/>
  <c r="G17" i="47"/>
  <c r="H17" i="47" s="1"/>
  <c r="G21" i="47"/>
  <c r="I21" i="47" s="1"/>
  <c r="J21" i="47" s="1"/>
  <c r="G20" i="47"/>
  <c r="I20" i="47" s="1"/>
  <c r="J20" i="47" s="1"/>
  <c r="G19" i="46"/>
  <c r="H19" i="46" s="1"/>
  <c r="G17" i="46"/>
  <c r="I17" i="46" s="1"/>
  <c r="J17" i="46" s="1"/>
  <c r="E22" i="44"/>
  <c r="F22" i="44" s="1"/>
  <c r="G18" i="46"/>
  <c r="I18" i="46" s="1"/>
  <c r="J18" i="46" s="1"/>
  <c r="E25" i="44"/>
  <c r="F25" i="44" s="1"/>
  <c r="E23" i="44"/>
  <c r="G23" i="44" s="1"/>
  <c r="H23" i="44" s="1"/>
  <c r="E24" i="44"/>
  <c r="F24" i="44" s="1"/>
  <c r="G20" i="48"/>
  <c r="H20" i="48" s="1"/>
  <c r="G16" i="48"/>
  <c r="H16" i="48" s="1"/>
  <c r="G19" i="48"/>
  <c r="I19" i="48" s="1"/>
  <c r="J19" i="48" s="1"/>
  <c r="G17" i="48"/>
  <c r="I17" i="48" s="1"/>
  <c r="J17" i="48" s="1"/>
  <c r="G18" i="48"/>
  <c r="G21" i="46"/>
  <c r="E30" i="88"/>
  <c r="E30" i="74"/>
  <c r="E30" i="62"/>
  <c r="E21" i="74"/>
  <c r="E21" i="73"/>
  <c r="E30" i="72"/>
  <c r="E30" i="66"/>
  <c r="E30" i="61"/>
  <c r="E30" i="86"/>
  <c r="E21" i="78"/>
  <c r="E21" i="64"/>
  <c r="E21" i="66"/>
  <c r="E30" i="73"/>
  <c r="E30" i="84"/>
  <c r="E30" i="67"/>
  <c r="E30" i="56"/>
  <c r="E30" i="78"/>
  <c r="E21" i="56"/>
  <c r="E21" i="61"/>
  <c r="E21" i="84"/>
  <c r="E30" i="83"/>
  <c r="E21" i="60"/>
  <c r="E30" i="70"/>
  <c r="E30" i="76"/>
  <c r="E30" i="75"/>
  <c r="E21" i="72"/>
  <c r="E21" i="88"/>
  <c r="E21" i="76"/>
  <c r="E30" i="64"/>
  <c r="E30" i="80"/>
  <c r="E30" i="71"/>
  <c r="E21" i="68"/>
  <c r="E21" i="80"/>
  <c r="E30" i="63"/>
  <c r="E30" i="68"/>
  <c r="E21" i="69"/>
  <c r="E21" i="81"/>
  <c r="E21" i="83"/>
  <c r="E21" i="63"/>
  <c r="E21" i="71"/>
  <c r="E21" i="67"/>
  <c r="E30" i="69"/>
  <c r="E30" i="60"/>
  <c r="E30" i="82"/>
  <c r="E30" i="81"/>
  <c r="E30" i="59"/>
  <c r="E21" i="62"/>
  <c r="E21" i="70"/>
  <c r="E21" i="82"/>
  <c r="E30" i="85" l="1"/>
  <c r="E30" i="87"/>
  <c r="G34" i="85"/>
  <c r="H34" i="85" s="1"/>
  <c r="F34" i="85"/>
  <c r="F34" i="87"/>
  <c r="G34" i="87"/>
  <c r="H34" i="87" s="1"/>
  <c r="F21" i="88"/>
  <c r="G21" i="88"/>
  <c r="G33" i="87"/>
  <c r="H33" i="87" s="1"/>
  <c r="F33" i="87"/>
  <c r="G31" i="87"/>
  <c r="H31" i="87" s="1"/>
  <c r="F31" i="87"/>
  <c r="G22" i="87"/>
  <c r="H22" i="87" s="1"/>
  <c r="F22" i="87"/>
  <c r="E21" i="87"/>
  <c r="E21" i="85"/>
  <c r="G26" i="87"/>
  <c r="H26" i="87" s="1"/>
  <c r="F26" i="87"/>
  <c r="G31" i="85"/>
  <c r="H31" i="85" s="1"/>
  <c r="F31" i="85"/>
  <c r="G22" i="85"/>
  <c r="H22" i="85" s="1"/>
  <c r="F22" i="85"/>
  <c r="F30" i="86"/>
  <c r="G30" i="86"/>
  <c r="G30" i="88"/>
  <c r="F30" i="88"/>
  <c r="G26" i="85"/>
  <c r="H26" i="85" s="1"/>
  <c r="F26" i="85"/>
  <c r="G24" i="87"/>
  <c r="H24" i="87" s="1"/>
  <c r="F24" i="87"/>
  <c r="F23" i="85"/>
  <c r="G23" i="85"/>
  <c r="H23" i="85" s="1"/>
  <c r="G30" i="83"/>
  <c r="F30" i="83"/>
  <c r="G21" i="84"/>
  <c r="F21" i="84"/>
  <c r="G24" i="85"/>
  <c r="H24" i="85" s="1"/>
  <c r="F24" i="85"/>
  <c r="G23" i="87"/>
  <c r="H23" i="87" s="1"/>
  <c r="F23" i="87"/>
  <c r="G33" i="85"/>
  <c r="H33" i="85" s="1"/>
  <c r="F33" i="85"/>
  <c r="G21" i="83"/>
  <c r="F21" i="83"/>
  <c r="G25" i="87"/>
  <c r="H25" i="87" s="1"/>
  <c r="F25" i="87"/>
  <c r="G32" i="85"/>
  <c r="H32" i="85" s="1"/>
  <c r="F32" i="85"/>
  <c r="G26" i="86"/>
  <c r="H26" i="86" s="1"/>
  <c r="F26" i="86"/>
  <c r="F30" i="84"/>
  <c r="G30" i="84"/>
  <c r="F25" i="85"/>
  <c r="G25" i="85"/>
  <c r="H25" i="85" s="1"/>
  <c r="F32" i="87"/>
  <c r="G32" i="87"/>
  <c r="H32" i="87" s="1"/>
  <c r="E21" i="86"/>
  <c r="G26" i="82"/>
  <c r="H26" i="82" s="1"/>
  <c r="F26" i="82"/>
  <c r="F26" i="44"/>
  <c r="F21" i="82"/>
  <c r="G21" i="82"/>
  <c r="F31" i="82"/>
  <c r="G31" i="82"/>
  <c r="H31" i="82" s="1"/>
  <c r="F30" i="82"/>
  <c r="G30" i="82"/>
  <c r="G21" i="80"/>
  <c r="F21" i="80"/>
  <c r="G24" i="77"/>
  <c r="H24" i="77" s="1"/>
  <c r="F24" i="77"/>
  <c r="G21" i="81"/>
  <c r="F21" i="81"/>
  <c r="F30" i="78"/>
  <c r="G30" i="78"/>
  <c r="G33" i="77"/>
  <c r="H33" i="77" s="1"/>
  <c r="F33" i="77"/>
  <c r="E30" i="77"/>
  <c r="G25" i="77"/>
  <c r="H25" i="77" s="1"/>
  <c r="F25" i="77"/>
  <c r="F32" i="77"/>
  <c r="G32" i="77"/>
  <c r="H32" i="77" s="1"/>
  <c r="G30" i="81"/>
  <c r="F30" i="81"/>
  <c r="G21" i="76"/>
  <c r="F21" i="76"/>
  <c r="G21" i="78"/>
  <c r="F21" i="78"/>
  <c r="G26" i="77"/>
  <c r="H26" i="77" s="1"/>
  <c r="F26" i="77"/>
  <c r="F34" i="77"/>
  <c r="G34" i="77"/>
  <c r="H34" i="77" s="1"/>
  <c r="G31" i="77"/>
  <c r="H31" i="77" s="1"/>
  <c r="F31" i="77"/>
  <c r="G30" i="80"/>
  <c r="F30" i="80"/>
  <c r="G22" i="77"/>
  <c r="H22" i="77" s="1"/>
  <c r="F22" i="77"/>
  <c r="G21" i="77"/>
  <c r="F21" i="77"/>
  <c r="G30" i="76"/>
  <c r="F30" i="76"/>
  <c r="G23" i="77"/>
  <c r="H23" i="77" s="1"/>
  <c r="F23" i="77"/>
  <c r="E21" i="75"/>
  <c r="G21" i="73"/>
  <c r="F21" i="73"/>
  <c r="G26" i="75"/>
  <c r="H26" i="75" s="1"/>
  <c r="F26" i="75"/>
  <c r="G30" i="72"/>
  <c r="F30" i="72"/>
  <c r="G30" i="74"/>
  <c r="F30" i="74"/>
  <c r="G30" i="75"/>
  <c r="F30" i="75"/>
  <c r="G21" i="74"/>
  <c r="F21" i="74"/>
  <c r="F21" i="72"/>
  <c r="G21" i="72"/>
  <c r="G30" i="73"/>
  <c r="F30" i="73"/>
  <c r="F30" i="69"/>
  <c r="G30" i="69"/>
  <c r="F30" i="68"/>
  <c r="G30" i="68"/>
  <c r="G21" i="69"/>
  <c r="F21" i="69"/>
  <c r="G30" i="67"/>
  <c r="F30" i="67"/>
  <c r="F21" i="70"/>
  <c r="G21" i="70"/>
  <c r="G30" i="71"/>
  <c r="F30" i="71"/>
  <c r="G21" i="68"/>
  <c r="F21" i="68"/>
  <c r="G30" i="70"/>
  <c r="F30" i="70"/>
  <c r="G21" i="67"/>
  <c r="F21" i="67"/>
  <c r="G21" i="71"/>
  <c r="F21" i="71"/>
  <c r="G21" i="66"/>
  <c r="F21" i="66"/>
  <c r="F30" i="66"/>
  <c r="G30" i="66"/>
  <c r="F21" i="64"/>
  <c r="G21" i="64"/>
  <c r="F30" i="63"/>
  <c r="G30" i="63"/>
  <c r="E21" i="65"/>
  <c r="G30" i="61"/>
  <c r="F30" i="61"/>
  <c r="G26" i="65"/>
  <c r="H26" i="65" s="1"/>
  <c r="F26" i="65"/>
  <c r="F21" i="63"/>
  <c r="G21" i="63"/>
  <c r="G21" i="62"/>
  <c r="F21" i="62"/>
  <c r="G21" i="61"/>
  <c r="F21" i="61"/>
  <c r="E30" i="65"/>
  <c r="G30" i="64"/>
  <c r="F30" i="64"/>
  <c r="G30" i="62"/>
  <c r="F30" i="62"/>
  <c r="E30" i="44"/>
  <c r="G30" i="44" s="1"/>
  <c r="G30" i="59"/>
  <c r="F30" i="59"/>
  <c r="F30" i="56"/>
  <c r="G30" i="56"/>
  <c r="G21" i="56"/>
  <c r="F21" i="56"/>
  <c r="G26" i="58"/>
  <c r="H26" i="58" s="1"/>
  <c r="F26" i="58"/>
  <c r="G21" i="60"/>
  <c r="F21" i="60"/>
  <c r="E30" i="58"/>
  <c r="G26" i="59"/>
  <c r="H26" i="59" s="1"/>
  <c r="F26" i="59"/>
  <c r="E21" i="59"/>
  <c r="G30" i="60"/>
  <c r="F30" i="60"/>
  <c r="E21" i="58"/>
  <c r="D43" i="69"/>
  <c r="D43" i="74"/>
  <c r="D43" i="80"/>
  <c r="D43" i="59"/>
  <c r="D43" i="75"/>
  <c r="D43" i="84"/>
  <c r="D43" i="64"/>
  <c r="D43" i="73"/>
  <c r="D43" i="58"/>
  <c r="D43" i="86"/>
  <c r="D43" i="56"/>
  <c r="D43" i="66"/>
  <c r="D43" i="68"/>
  <c r="D43" i="71"/>
  <c r="D43" i="83"/>
  <c r="D43" i="81"/>
  <c r="D43" i="63"/>
  <c r="D43" i="72"/>
  <c r="D43" i="67"/>
  <c r="D43" i="76"/>
  <c r="D43" i="62"/>
  <c r="D43" i="82"/>
  <c r="D43" i="61"/>
  <c r="D43" i="88"/>
  <c r="D43" i="60"/>
  <c r="D43" i="78"/>
  <c r="D43" i="70"/>
  <c r="I18" i="47"/>
  <c r="J18" i="47" s="1"/>
  <c r="H17" i="46"/>
  <c r="G8" i="55"/>
  <c r="K15" i="55"/>
  <c r="H19" i="47"/>
  <c r="H20" i="46"/>
  <c r="H18" i="46"/>
  <c r="I17" i="47"/>
  <c r="J17" i="47" s="1"/>
  <c r="I19" i="46"/>
  <c r="J19" i="46" s="1"/>
  <c r="G24" i="44"/>
  <c r="H24" i="44" s="1"/>
  <c r="H21" i="47"/>
  <c r="G31" i="44"/>
  <c r="H31" i="44" s="1"/>
  <c r="H20" i="47"/>
  <c r="I13" i="55"/>
  <c r="C15" i="55" s="1"/>
  <c r="C17" i="55" s="1"/>
  <c r="H24" i="55"/>
  <c r="I24" i="55" s="1"/>
  <c r="I27" i="55" s="1"/>
  <c r="C29" i="55" s="1"/>
  <c r="G24" i="55"/>
  <c r="K29" i="55"/>
  <c r="H19" i="48"/>
  <c r="G25" i="44"/>
  <c r="H25" i="44" s="1"/>
  <c r="E21" i="44"/>
  <c r="G21" i="44" s="1"/>
  <c r="H17" i="48"/>
  <c r="I20" i="48"/>
  <c r="J20" i="48" s="1"/>
  <c r="I16" i="48"/>
  <c r="J16" i="48" s="1"/>
  <c r="L23" i="48"/>
  <c r="F23" i="44"/>
  <c r="F32" i="44"/>
  <c r="G34" i="44"/>
  <c r="H34" i="44" s="1"/>
  <c r="I21" i="46"/>
  <c r="J21" i="46" s="1"/>
  <c r="H21" i="46"/>
  <c r="G16" i="47"/>
  <c r="I18" i="48"/>
  <c r="J18" i="48" s="1"/>
  <c r="H18" i="48"/>
  <c r="G16" i="46"/>
  <c r="G22" i="44"/>
  <c r="H22" i="44" s="1"/>
  <c r="F33" i="44"/>
  <c r="D43" i="65" l="1"/>
  <c r="D43" i="44"/>
  <c r="E37" i="83"/>
  <c r="H30" i="83"/>
  <c r="L36" i="83" s="1"/>
  <c r="E28" i="83"/>
  <c r="H21" i="83"/>
  <c r="L27" i="83" s="1"/>
  <c r="E28" i="88"/>
  <c r="H21" i="88"/>
  <c r="L27" i="88" s="1"/>
  <c r="H30" i="84"/>
  <c r="L36" i="84" s="1"/>
  <c r="E37" i="84"/>
  <c r="F21" i="85"/>
  <c r="G21" i="85"/>
  <c r="G21" i="87"/>
  <c r="F21" i="87"/>
  <c r="D43" i="87"/>
  <c r="D43" i="85"/>
  <c r="H30" i="88"/>
  <c r="L36" i="88" s="1"/>
  <c r="E37" i="88"/>
  <c r="F30" i="87"/>
  <c r="G30" i="87"/>
  <c r="H30" i="86"/>
  <c r="L36" i="86" s="1"/>
  <c r="E37" i="86"/>
  <c r="G30" i="85"/>
  <c r="F30" i="85"/>
  <c r="F21" i="86"/>
  <c r="G21" i="86"/>
  <c r="H21" i="84"/>
  <c r="L27" i="84" s="1"/>
  <c r="E28" i="84"/>
  <c r="H30" i="82"/>
  <c r="L36" i="82" s="1"/>
  <c r="E37" i="82"/>
  <c r="H21" i="82"/>
  <c r="L27" i="82" s="1"/>
  <c r="E28" i="82"/>
  <c r="H30" i="78"/>
  <c r="L36" i="78" s="1"/>
  <c r="E37" i="78"/>
  <c r="E28" i="78"/>
  <c r="H21" i="78"/>
  <c r="L27" i="78" s="1"/>
  <c r="H30" i="76"/>
  <c r="L36" i="76" s="1"/>
  <c r="E37" i="76"/>
  <c r="E28" i="76"/>
  <c r="H21" i="76"/>
  <c r="L27" i="76" s="1"/>
  <c r="E28" i="81"/>
  <c r="H21" i="81"/>
  <c r="L27" i="81" s="1"/>
  <c r="E28" i="77"/>
  <c r="H21" i="77"/>
  <c r="L27" i="77" s="1"/>
  <c r="H30" i="81"/>
  <c r="L36" i="81" s="1"/>
  <c r="E37" i="81"/>
  <c r="F30" i="77"/>
  <c r="G30" i="77"/>
  <c r="E28" i="80"/>
  <c r="H21" i="80"/>
  <c r="L27" i="80" s="1"/>
  <c r="H30" i="80"/>
  <c r="L36" i="80" s="1"/>
  <c r="E37" i="80"/>
  <c r="H30" i="75"/>
  <c r="L36" i="75" s="1"/>
  <c r="E37" i="75"/>
  <c r="H30" i="74"/>
  <c r="L36" i="74" s="1"/>
  <c r="E37" i="74"/>
  <c r="H30" i="72"/>
  <c r="L36" i="72" s="1"/>
  <c r="E37" i="72"/>
  <c r="H30" i="73"/>
  <c r="L36" i="73" s="1"/>
  <c r="E37" i="73"/>
  <c r="E28" i="72"/>
  <c r="H21" i="72"/>
  <c r="H21" i="73"/>
  <c r="L27" i="73" s="1"/>
  <c r="E28" i="73"/>
  <c r="G21" i="75"/>
  <c r="F21" i="75"/>
  <c r="E28" i="74"/>
  <c r="H21" i="74"/>
  <c r="L27" i="74" s="1"/>
  <c r="H30" i="71"/>
  <c r="L36" i="71" s="1"/>
  <c r="E37" i="71"/>
  <c r="E28" i="70"/>
  <c r="H21" i="70"/>
  <c r="L27" i="70" s="1"/>
  <c r="E28" i="71"/>
  <c r="H21" i="71"/>
  <c r="L27" i="71" s="1"/>
  <c r="E37" i="67"/>
  <c r="H30" i="67"/>
  <c r="L36" i="67" s="1"/>
  <c r="E28" i="67"/>
  <c r="H21" i="67"/>
  <c r="L27" i="67" s="1"/>
  <c r="E28" i="69"/>
  <c r="H21" i="69"/>
  <c r="L27" i="69" s="1"/>
  <c r="H30" i="68"/>
  <c r="L36" i="68" s="1"/>
  <c r="E37" i="68"/>
  <c r="H30" i="70"/>
  <c r="L36" i="70" s="1"/>
  <c r="E37" i="70"/>
  <c r="H30" i="69"/>
  <c r="L36" i="69" s="1"/>
  <c r="E37" i="69"/>
  <c r="E28" i="68"/>
  <c r="H21" i="68"/>
  <c r="L27" i="68" s="1"/>
  <c r="H30" i="66"/>
  <c r="L36" i="66" s="1"/>
  <c r="E37" i="66"/>
  <c r="E28" i="66"/>
  <c r="H21" i="66"/>
  <c r="L27" i="66" s="1"/>
  <c r="E28" i="63"/>
  <c r="H21" i="63"/>
  <c r="L27" i="63" s="1"/>
  <c r="E37" i="62"/>
  <c r="H30" i="62"/>
  <c r="L36" i="62" s="1"/>
  <c r="H30" i="64"/>
  <c r="L36" i="64" s="1"/>
  <c r="E37" i="64"/>
  <c r="G30" i="65"/>
  <c r="F30" i="65"/>
  <c r="H30" i="61"/>
  <c r="L36" i="61" s="1"/>
  <c r="E37" i="61"/>
  <c r="F21" i="65"/>
  <c r="G21" i="65"/>
  <c r="E28" i="61"/>
  <c r="H21" i="61"/>
  <c r="L27" i="61" s="1"/>
  <c r="H30" i="63"/>
  <c r="L36" i="63" s="1"/>
  <c r="E37" i="63"/>
  <c r="E28" i="62"/>
  <c r="H21" i="62"/>
  <c r="L27" i="62" s="1"/>
  <c r="E28" i="64"/>
  <c r="H21" i="64"/>
  <c r="L27" i="64" s="1"/>
  <c r="E28" i="60"/>
  <c r="H21" i="60"/>
  <c r="L27" i="60" s="1"/>
  <c r="G21" i="58"/>
  <c r="F21" i="58"/>
  <c r="H30" i="60"/>
  <c r="L36" i="60" s="1"/>
  <c r="E37" i="60"/>
  <c r="G21" i="59"/>
  <c r="F21" i="59"/>
  <c r="E28" i="56"/>
  <c r="H21" i="56"/>
  <c r="L27" i="56" s="1"/>
  <c r="H30" i="56"/>
  <c r="L36" i="56" s="1"/>
  <c r="E37" i="56"/>
  <c r="G30" i="58"/>
  <c r="F30" i="58"/>
  <c r="H30" i="59"/>
  <c r="L36" i="59" s="1"/>
  <c r="E37" i="59"/>
  <c r="C16" i="55"/>
  <c r="C30" i="55"/>
  <c r="C31" i="55"/>
  <c r="J22" i="48"/>
  <c r="Q5" i="48" s="1"/>
  <c r="H16" i="47"/>
  <c r="I16" i="47"/>
  <c r="J16" i="47" s="1"/>
  <c r="J22" i="47" s="1"/>
  <c r="Q5" i="47" s="1"/>
  <c r="L23" i="47"/>
  <c r="H16" i="46"/>
  <c r="L23" i="46"/>
  <c r="I16" i="46"/>
  <c r="J16" i="46" s="1"/>
  <c r="J22" i="46" s="1"/>
  <c r="Q5" i="46" s="1"/>
  <c r="F30" i="44"/>
  <c r="E28" i="44"/>
  <c r="H21" i="44"/>
  <c r="L27" i="44" s="1"/>
  <c r="F21" i="44"/>
  <c r="E37" i="44"/>
  <c r="H30" i="44"/>
  <c r="L36" i="44" s="1"/>
  <c r="E17" i="58"/>
  <c r="E17" i="78"/>
  <c r="E17" i="82"/>
  <c r="E17" i="64"/>
  <c r="E17" i="73"/>
  <c r="E17" i="63"/>
  <c r="E17" i="62"/>
  <c r="E17" i="80"/>
  <c r="E17" i="70"/>
  <c r="E17" i="59"/>
  <c r="E17" i="81"/>
  <c r="E17" i="67"/>
  <c r="E17" i="71"/>
  <c r="E17" i="76"/>
  <c r="E17" i="83"/>
  <c r="E17" i="68"/>
  <c r="E17" i="65"/>
  <c r="E17" i="56"/>
  <c r="E17" i="88"/>
  <c r="E17" i="72"/>
  <c r="E17" i="74"/>
  <c r="E17" i="75"/>
  <c r="E17" i="66"/>
  <c r="E17" i="60"/>
  <c r="E17" i="84"/>
  <c r="E17" i="86"/>
  <c r="E17" i="61"/>
  <c r="E17" i="69"/>
  <c r="H21" i="87" l="1"/>
  <c r="L27" i="87" s="1"/>
  <c r="E28" i="87"/>
  <c r="H21" i="85"/>
  <c r="L27" i="85" s="1"/>
  <c r="E28" i="85"/>
  <c r="H21" i="86"/>
  <c r="L27" i="86" s="1"/>
  <c r="E28" i="86"/>
  <c r="H30" i="85"/>
  <c r="L36" i="85" s="1"/>
  <c r="E37" i="85"/>
  <c r="H30" i="87"/>
  <c r="L36" i="87" s="1"/>
  <c r="E37" i="87"/>
  <c r="G17" i="86"/>
  <c r="H17" i="86" s="1"/>
  <c r="F17" i="86"/>
  <c r="E17" i="87"/>
  <c r="E17" i="85"/>
  <c r="G17" i="84"/>
  <c r="H17" i="84" s="1"/>
  <c r="F17" i="84"/>
  <c r="F17" i="83"/>
  <c r="G17" i="83"/>
  <c r="H17" i="83" s="1"/>
  <c r="F17" i="88"/>
  <c r="G17" i="88"/>
  <c r="H17" i="88" s="1"/>
  <c r="G17" i="82"/>
  <c r="H17" i="82" s="1"/>
  <c r="F17" i="82"/>
  <c r="E17" i="77"/>
  <c r="D43" i="77"/>
  <c r="H30" i="77"/>
  <c r="L36" i="77" s="1"/>
  <c r="E37" i="77"/>
  <c r="G17" i="81"/>
  <c r="H17" i="81" s="1"/>
  <c r="F17" i="81"/>
  <c r="G17" i="76"/>
  <c r="H17" i="76" s="1"/>
  <c r="F17" i="76"/>
  <c r="G17" i="80"/>
  <c r="H17" i="80" s="1"/>
  <c r="F17" i="80"/>
  <c r="F17" i="78"/>
  <c r="G17" i="78"/>
  <c r="H17" i="78" s="1"/>
  <c r="G17" i="75"/>
  <c r="H17" i="75" s="1"/>
  <c r="F17" i="75"/>
  <c r="L27" i="72"/>
  <c r="G17" i="74"/>
  <c r="H17" i="74" s="1"/>
  <c r="F17" i="74"/>
  <c r="G17" i="72"/>
  <c r="H17" i="72" s="1"/>
  <c r="F17" i="72"/>
  <c r="G17" i="73"/>
  <c r="H17" i="73" s="1"/>
  <c r="F17" i="73"/>
  <c r="E28" i="75"/>
  <c r="H21" i="75"/>
  <c r="L27" i="75" s="1"/>
  <c r="G17" i="67"/>
  <c r="H17" i="67" s="1"/>
  <c r="F17" i="67"/>
  <c r="G17" i="70"/>
  <c r="H17" i="70" s="1"/>
  <c r="F17" i="70"/>
  <c r="F17" i="69"/>
  <c r="G17" i="69"/>
  <c r="H17" i="69" s="1"/>
  <c r="G17" i="68"/>
  <c r="H17" i="68" s="1"/>
  <c r="F17" i="68"/>
  <c r="G17" i="71"/>
  <c r="H17" i="71" s="1"/>
  <c r="F17" i="71"/>
  <c r="G17" i="66"/>
  <c r="H17" i="66" s="1"/>
  <c r="F17" i="66"/>
  <c r="F17" i="65"/>
  <c r="G17" i="65"/>
  <c r="H17" i="65" s="1"/>
  <c r="E28" i="65"/>
  <c r="H21" i="65"/>
  <c r="L27" i="65" s="1"/>
  <c r="F17" i="61"/>
  <c r="G17" i="61"/>
  <c r="H17" i="61" s="1"/>
  <c r="F17" i="64"/>
  <c r="G17" i="64"/>
  <c r="H17" i="64" s="1"/>
  <c r="H30" i="65"/>
  <c r="L36" i="65" s="1"/>
  <c r="E37" i="65"/>
  <c r="G17" i="62"/>
  <c r="H17" i="62" s="1"/>
  <c r="F17" i="62"/>
  <c r="G17" i="63"/>
  <c r="H17" i="63" s="1"/>
  <c r="F17" i="63"/>
  <c r="G17" i="60"/>
  <c r="H17" i="60" s="1"/>
  <c r="F17" i="60"/>
  <c r="G17" i="56"/>
  <c r="H17" i="56" s="1"/>
  <c r="F17" i="56"/>
  <c r="G17" i="59"/>
  <c r="H17" i="59" s="1"/>
  <c r="F17" i="59"/>
  <c r="E28" i="59"/>
  <c r="H21" i="59"/>
  <c r="L27" i="59" s="1"/>
  <c r="F17" i="58"/>
  <c r="G17" i="58"/>
  <c r="H17" i="58" s="1"/>
  <c r="E28" i="58"/>
  <c r="H21" i="58"/>
  <c r="L27" i="58" s="1"/>
  <c r="H30" i="58"/>
  <c r="L36" i="58" s="1"/>
  <c r="E37" i="58"/>
  <c r="G21" i="45"/>
  <c r="I21" i="45" s="1"/>
  <c r="J21" i="45" s="1"/>
  <c r="E17" i="44"/>
  <c r="G17" i="44" s="1"/>
  <c r="H17" i="44" s="1"/>
  <c r="G17" i="85" l="1"/>
  <c r="H17" i="85" s="1"/>
  <c r="F17" i="85"/>
  <c r="G17" i="87"/>
  <c r="H17" i="87" s="1"/>
  <c r="F17" i="87"/>
  <c r="G17" i="77"/>
  <c r="H17" i="77" s="1"/>
  <c r="F17" i="77"/>
  <c r="H21" i="45"/>
  <c r="F17" i="44"/>
  <c r="B15" i="38" l="1"/>
  <c r="B14" i="38"/>
  <c r="B13" i="38"/>
  <c r="B12" i="38"/>
  <c r="B11" i="38"/>
  <c r="B24" i="38"/>
  <c r="B23" i="38"/>
  <c r="B22" i="38"/>
  <c r="B21" i="38"/>
  <c r="B20" i="38"/>
  <c r="D7" i="38"/>
  <c r="D6" i="38"/>
  <c r="B6" i="38"/>
  <c r="C43" i="38"/>
  <c r="C42" i="38"/>
  <c r="B41" i="38"/>
  <c r="B40" i="38"/>
  <c r="B39" i="38"/>
  <c r="B38" i="38"/>
  <c r="B37" i="38"/>
  <c r="B36" i="38"/>
  <c r="C34" i="38"/>
  <c r="C33" i="38"/>
  <c r="B32" i="38"/>
  <c r="B31" i="38"/>
  <c r="B30" i="38"/>
  <c r="B29" i="38"/>
  <c r="B28" i="38"/>
  <c r="C26" i="38"/>
  <c r="C25" i="38"/>
  <c r="C18" i="38"/>
  <c r="C17" i="38"/>
  <c r="B19" i="55" l="1"/>
  <c r="B20" i="55"/>
  <c r="B5" i="55"/>
  <c r="B6" i="55"/>
  <c r="F20" i="55" l="1"/>
  <c r="F6" i="55"/>
  <c r="E36" i="65" l="1"/>
  <c r="E36" i="86"/>
  <c r="E36" i="69"/>
  <c r="E36" i="63"/>
  <c r="I10" i="54"/>
  <c r="T10" i="54" s="1"/>
  <c r="E36" i="76"/>
  <c r="E36" i="82"/>
  <c r="E36" i="62"/>
  <c r="E36" i="67"/>
  <c r="E36" i="84"/>
  <c r="E36" i="60"/>
  <c r="E36" i="68"/>
  <c r="E36" i="83"/>
  <c r="E36" i="71"/>
  <c r="I11" i="54"/>
  <c r="T11" i="54" s="1"/>
  <c r="I12" i="54"/>
  <c r="T12" i="54" s="1"/>
  <c r="H10" i="54"/>
  <c r="S10" i="54" s="1"/>
  <c r="E36" i="78"/>
  <c r="J10" i="54"/>
  <c r="U10" i="54" s="1"/>
  <c r="E36" i="64"/>
  <c r="E36" i="70"/>
  <c r="E36" i="59"/>
  <c r="E36" i="80"/>
  <c r="E36" i="58"/>
  <c r="E36" i="72"/>
  <c r="E36" i="81"/>
  <c r="E36" i="74"/>
  <c r="E36" i="56"/>
  <c r="E36" i="75"/>
  <c r="E36" i="66"/>
  <c r="E36" i="61"/>
  <c r="E36" i="73"/>
  <c r="E36" i="88"/>
  <c r="J12" i="54"/>
  <c r="U12" i="54" s="1"/>
  <c r="I20" i="54"/>
  <c r="T20" i="54" s="1"/>
  <c r="G10" i="54"/>
  <c r="R10" i="54" s="1"/>
  <c r="J22" i="54"/>
  <c r="U22" i="54" s="1"/>
  <c r="M36" i="86" l="1"/>
  <c r="L34" i="86" s="1"/>
  <c r="G37" i="86"/>
  <c r="G36" i="86"/>
  <c r="M36" i="84"/>
  <c r="L34" i="84" s="1"/>
  <c r="G37" i="84"/>
  <c r="G36" i="84"/>
  <c r="M36" i="88"/>
  <c r="L34" i="88" s="1"/>
  <c r="G36" i="88"/>
  <c r="G37" i="88"/>
  <c r="M36" i="83"/>
  <c r="L34" i="83" s="1"/>
  <c r="G36" i="83"/>
  <c r="G37" i="83"/>
  <c r="E36" i="87"/>
  <c r="E36" i="85"/>
  <c r="M36" i="82"/>
  <c r="L34" i="82" s="1"/>
  <c r="G37" i="82"/>
  <c r="G36" i="82"/>
  <c r="M36" i="78"/>
  <c r="L34" i="78" s="1"/>
  <c r="G36" i="78"/>
  <c r="G37" i="78"/>
  <c r="M36" i="76"/>
  <c r="L34" i="76" s="1"/>
  <c r="G36" i="76"/>
  <c r="G37" i="76"/>
  <c r="M36" i="80"/>
  <c r="L34" i="80" s="1"/>
  <c r="G36" i="80"/>
  <c r="G37" i="80"/>
  <c r="M36" i="81"/>
  <c r="L34" i="81" s="1"/>
  <c r="G37" i="81"/>
  <c r="G36" i="81"/>
  <c r="M36" i="72"/>
  <c r="L34" i="72" s="1"/>
  <c r="G36" i="72"/>
  <c r="G37" i="72"/>
  <c r="M36" i="73"/>
  <c r="L34" i="73" s="1"/>
  <c r="G37" i="73"/>
  <c r="G36" i="73"/>
  <c r="M36" i="74"/>
  <c r="L34" i="74" s="1"/>
  <c r="G37" i="74"/>
  <c r="G36" i="74"/>
  <c r="M36" i="75"/>
  <c r="L34" i="75" s="1"/>
  <c r="G36" i="75"/>
  <c r="G37" i="75"/>
  <c r="M36" i="67"/>
  <c r="L34" i="67" s="1"/>
  <c r="G36" i="67"/>
  <c r="G37" i="67"/>
  <c r="M36" i="68"/>
  <c r="L34" i="68" s="1"/>
  <c r="G36" i="68"/>
  <c r="G37" i="68"/>
  <c r="M36" i="71"/>
  <c r="L34" i="71" s="1"/>
  <c r="G36" i="71"/>
  <c r="G37" i="71"/>
  <c r="M36" i="69"/>
  <c r="L34" i="69" s="1"/>
  <c r="G37" i="69"/>
  <c r="G36" i="69"/>
  <c r="M36" i="70"/>
  <c r="L34" i="70" s="1"/>
  <c r="G36" i="70"/>
  <c r="G37" i="70"/>
  <c r="M36" i="66"/>
  <c r="L34" i="66" s="1"/>
  <c r="G37" i="66"/>
  <c r="G36" i="66"/>
  <c r="M36" i="63"/>
  <c r="L34" i="63" s="1"/>
  <c r="G37" i="63"/>
  <c r="G36" i="63"/>
  <c r="M36" i="61"/>
  <c r="L34" i="61" s="1"/>
  <c r="G36" i="61"/>
  <c r="G37" i="61"/>
  <c r="M36" i="62"/>
  <c r="L34" i="62" s="1"/>
  <c r="G37" i="62"/>
  <c r="G36" i="62"/>
  <c r="M36" i="65"/>
  <c r="L34" i="65" s="1"/>
  <c r="G36" i="65"/>
  <c r="G37" i="65"/>
  <c r="M36" i="64"/>
  <c r="L34" i="64" s="1"/>
  <c r="G36" i="64"/>
  <c r="G37" i="64"/>
  <c r="M36" i="56"/>
  <c r="L34" i="56" s="1"/>
  <c r="G36" i="56"/>
  <c r="G37" i="56"/>
  <c r="M36" i="60"/>
  <c r="L34" i="60" s="1"/>
  <c r="G36" i="60"/>
  <c r="G37" i="60"/>
  <c r="M36" i="58"/>
  <c r="L34" i="58" s="1"/>
  <c r="G37" i="58"/>
  <c r="G36" i="58"/>
  <c r="M36" i="59"/>
  <c r="L34" i="59" s="1"/>
  <c r="G36" i="59"/>
  <c r="G37" i="59"/>
  <c r="G91" i="54"/>
  <c r="R91" i="54" s="1"/>
  <c r="I131" i="54"/>
  <c r="T131" i="54" s="1"/>
  <c r="I158" i="54"/>
  <c r="T158" i="54" s="1"/>
  <c r="I33" i="54"/>
  <c r="T33" i="54" s="1"/>
  <c r="I66" i="54"/>
  <c r="T66" i="54" s="1"/>
  <c r="I100" i="54"/>
  <c r="T100" i="54" s="1"/>
  <c r="I130" i="54"/>
  <c r="T130" i="54" s="1"/>
  <c r="I41" i="54"/>
  <c r="T41" i="54" s="1"/>
  <c r="I38" i="54"/>
  <c r="T38" i="54" s="1"/>
  <c r="J85" i="54"/>
  <c r="U85" i="54" s="1"/>
  <c r="I160" i="54"/>
  <c r="T160" i="54" s="1"/>
  <c r="I43" i="54"/>
  <c r="T43" i="54" s="1"/>
  <c r="I90" i="54"/>
  <c r="T90" i="54" s="1"/>
  <c r="I125" i="54"/>
  <c r="T125" i="54" s="1"/>
  <c r="I69" i="54"/>
  <c r="T69" i="54" s="1"/>
  <c r="J17" i="54"/>
  <c r="U17" i="54" s="1"/>
  <c r="J136" i="54"/>
  <c r="U136" i="54" s="1"/>
  <c r="J32" i="54"/>
  <c r="U32" i="54" s="1"/>
  <c r="J55" i="54"/>
  <c r="U55" i="54" s="1"/>
  <c r="J39" i="54"/>
  <c r="U39" i="54" s="1"/>
  <c r="J88" i="54"/>
  <c r="U88" i="54" s="1"/>
  <c r="J14" i="54"/>
  <c r="U14" i="54" s="1"/>
  <c r="J115" i="54"/>
  <c r="U115" i="54" s="1"/>
  <c r="J29" i="54"/>
  <c r="U29" i="54" s="1"/>
  <c r="J151" i="54"/>
  <c r="U151" i="54" s="1"/>
  <c r="J38" i="54"/>
  <c r="U38" i="54" s="1"/>
  <c r="J156" i="54"/>
  <c r="U156" i="54" s="1"/>
  <c r="J155" i="54"/>
  <c r="U155" i="54" s="1"/>
  <c r="J101" i="54"/>
  <c r="U101" i="54" s="1"/>
  <c r="J109" i="54"/>
  <c r="U109" i="54" s="1"/>
  <c r="J158" i="54"/>
  <c r="U158" i="54" s="1"/>
  <c r="J63" i="54"/>
  <c r="U63" i="54" s="1"/>
  <c r="J117" i="54"/>
  <c r="U117" i="54" s="1"/>
  <c r="J128" i="54"/>
  <c r="U128" i="54" s="1"/>
  <c r="J59" i="54"/>
  <c r="U59" i="54" s="1"/>
  <c r="I37" i="54"/>
  <c r="T37" i="54" s="1"/>
  <c r="I75" i="54"/>
  <c r="T75" i="54" s="1"/>
  <c r="J42" i="54"/>
  <c r="U42" i="54" s="1"/>
  <c r="I60" i="54"/>
  <c r="T60" i="54" s="1"/>
  <c r="I147" i="54"/>
  <c r="T147" i="54" s="1"/>
  <c r="J102" i="54"/>
  <c r="U102" i="54" s="1"/>
  <c r="I72" i="54"/>
  <c r="T72" i="54" s="1"/>
  <c r="I61" i="54"/>
  <c r="T61" i="54" s="1"/>
  <c r="J31" i="54"/>
  <c r="U31" i="54" s="1"/>
  <c r="I70" i="54"/>
  <c r="T70" i="54" s="1"/>
  <c r="J84" i="54"/>
  <c r="U84" i="54" s="1"/>
  <c r="I39" i="54"/>
  <c r="T39" i="54" s="1"/>
  <c r="I86" i="54"/>
  <c r="T86" i="54" s="1"/>
  <c r="I156" i="54"/>
  <c r="T156" i="54" s="1"/>
  <c r="I117" i="54"/>
  <c r="T117" i="54" s="1"/>
  <c r="I49" i="54"/>
  <c r="T49" i="54" s="1"/>
  <c r="I144" i="54"/>
  <c r="T144" i="54" s="1"/>
  <c r="I148" i="54"/>
  <c r="T148" i="54" s="1"/>
  <c r="I89" i="54"/>
  <c r="T89" i="54" s="1"/>
  <c r="I103" i="54"/>
  <c r="T103" i="54" s="1"/>
  <c r="I58" i="54"/>
  <c r="T58" i="54" s="1"/>
  <c r="I111" i="54"/>
  <c r="T111" i="54" s="1"/>
  <c r="I132" i="54"/>
  <c r="T132" i="54" s="1"/>
  <c r="I98" i="54"/>
  <c r="T98" i="54" s="1"/>
  <c r="I13" i="54"/>
  <c r="T13" i="54" s="1"/>
  <c r="I124" i="54"/>
  <c r="T124" i="54" s="1"/>
  <c r="I50" i="54"/>
  <c r="T50" i="54" s="1"/>
  <c r="I106" i="54"/>
  <c r="T106" i="54" s="1"/>
  <c r="I152" i="54"/>
  <c r="T152" i="54" s="1"/>
  <c r="I31" i="54"/>
  <c r="T31" i="54" s="1"/>
  <c r="I52" i="54"/>
  <c r="T52" i="54" s="1"/>
  <c r="I127" i="54"/>
  <c r="T127" i="54" s="1"/>
  <c r="I154" i="54"/>
  <c r="T154" i="54" s="1"/>
  <c r="I55" i="54"/>
  <c r="T55" i="54" s="1"/>
  <c r="I109" i="54"/>
  <c r="T109" i="54" s="1"/>
  <c r="I136" i="54"/>
  <c r="T136" i="54" s="1"/>
  <c r="I34" i="54"/>
  <c r="T34" i="54" s="1"/>
  <c r="I151" i="54"/>
  <c r="T151" i="54" s="1"/>
  <c r="I21" i="54"/>
  <c r="T21" i="54" s="1"/>
  <c r="I146" i="54"/>
  <c r="T146" i="54" s="1"/>
  <c r="I105" i="54"/>
  <c r="T105" i="54" s="1"/>
  <c r="I142" i="54"/>
  <c r="T142" i="54" s="1"/>
  <c r="I26" i="54"/>
  <c r="T26" i="54" s="1"/>
  <c r="I104" i="54"/>
  <c r="T104" i="54" s="1"/>
  <c r="I67" i="54"/>
  <c r="T67" i="54" s="1"/>
  <c r="I18" i="54"/>
  <c r="T18" i="54" s="1"/>
  <c r="I54" i="54"/>
  <c r="T54" i="54" s="1"/>
  <c r="I153" i="54"/>
  <c r="T153" i="54" s="1"/>
  <c r="I47" i="54"/>
  <c r="T47" i="54" s="1"/>
  <c r="I35" i="54"/>
  <c r="T35" i="54" s="1"/>
  <c r="I123" i="54"/>
  <c r="T123" i="54" s="1"/>
  <c r="I28" i="54"/>
  <c r="T28" i="54" s="1"/>
  <c r="I44" i="54"/>
  <c r="T44" i="54" s="1"/>
  <c r="I138" i="54"/>
  <c r="T138" i="54" s="1"/>
  <c r="I63" i="54"/>
  <c r="T63" i="54" s="1"/>
  <c r="I83" i="54"/>
  <c r="T83" i="54" s="1"/>
  <c r="I112" i="54"/>
  <c r="T112" i="54" s="1"/>
  <c r="I149" i="54"/>
  <c r="T149" i="54" s="1"/>
  <c r="I93" i="54"/>
  <c r="T93" i="54" s="1"/>
  <c r="I115" i="54"/>
  <c r="T115" i="54" s="1"/>
  <c r="I27" i="54"/>
  <c r="T27" i="54" s="1"/>
  <c r="I88" i="54"/>
  <c r="T88" i="54" s="1"/>
  <c r="I95" i="54"/>
  <c r="T95" i="54" s="1"/>
  <c r="I110" i="54"/>
  <c r="T110" i="54" s="1"/>
  <c r="I140" i="54"/>
  <c r="T140" i="54" s="1"/>
  <c r="I64" i="54"/>
  <c r="T64" i="54" s="1"/>
  <c r="I108" i="54"/>
  <c r="T108" i="54" s="1"/>
  <c r="I139" i="54"/>
  <c r="T139" i="54" s="1"/>
  <c r="I25" i="54"/>
  <c r="T25" i="54" s="1"/>
  <c r="I80" i="54"/>
  <c r="T80" i="54" s="1"/>
  <c r="I32" i="54"/>
  <c r="T32" i="54" s="1"/>
  <c r="I68" i="54"/>
  <c r="T68" i="54" s="1"/>
  <c r="I57" i="54"/>
  <c r="T57" i="54" s="1"/>
  <c r="I84" i="54"/>
  <c r="T84" i="54" s="1"/>
  <c r="I155" i="54"/>
  <c r="T155" i="54" s="1"/>
  <c r="I48" i="54"/>
  <c r="T48" i="54" s="1"/>
  <c r="I121" i="54"/>
  <c r="T121" i="54" s="1"/>
  <c r="I53" i="54"/>
  <c r="T53" i="54" s="1"/>
  <c r="I40" i="54"/>
  <c r="T40" i="54" s="1"/>
  <c r="I42" i="54"/>
  <c r="T42" i="54" s="1"/>
  <c r="I78" i="54"/>
  <c r="T78" i="54" s="1"/>
  <c r="I101" i="54"/>
  <c r="T101" i="54" s="1"/>
  <c r="I36" i="54"/>
  <c r="T36" i="54" s="1"/>
  <c r="I74" i="54"/>
  <c r="T74" i="54" s="1"/>
  <c r="I19" i="54"/>
  <c r="T19" i="54" s="1"/>
  <c r="I16" i="54"/>
  <c r="T16" i="54" s="1"/>
  <c r="I122" i="54"/>
  <c r="T122" i="54" s="1"/>
  <c r="I141" i="54"/>
  <c r="T141" i="54" s="1"/>
  <c r="I56" i="54"/>
  <c r="T56" i="54" s="1"/>
  <c r="I92" i="54"/>
  <c r="T92" i="54" s="1"/>
  <c r="I15" i="54"/>
  <c r="T15" i="54" s="1"/>
  <c r="I97" i="54"/>
  <c r="T97" i="54" s="1"/>
  <c r="I135" i="54"/>
  <c r="T135" i="54" s="1"/>
  <c r="I45" i="54"/>
  <c r="T45" i="54" s="1"/>
  <c r="I85" i="54"/>
  <c r="T85" i="54" s="1"/>
  <c r="J89" i="54"/>
  <c r="U89" i="54" s="1"/>
  <c r="J104" i="54"/>
  <c r="U104" i="54" s="1"/>
  <c r="J69" i="54"/>
  <c r="U69" i="54" s="1"/>
  <c r="J65" i="54"/>
  <c r="U65" i="54" s="1"/>
  <c r="J134" i="54"/>
  <c r="U134" i="54" s="1"/>
  <c r="J30" i="54"/>
  <c r="U30" i="54" s="1"/>
  <c r="J79" i="54"/>
  <c r="U79" i="54" s="1"/>
  <c r="J125" i="54"/>
  <c r="U125" i="54" s="1"/>
  <c r="I30" i="54"/>
  <c r="T30" i="54" s="1"/>
  <c r="J33" i="54"/>
  <c r="U33" i="54" s="1"/>
  <c r="J144" i="54"/>
  <c r="U144" i="54" s="1"/>
  <c r="J99" i="54"/>
  <c r="U99" i="54" s="1"/>
  <c r="J142" i="54"/>
  <c r="U142" i="54" s="1"/>
  <c r="J23" i="54"/>
  <c r="U23" i="54" s="1"/>
  <c r="J123" i="54"/>
  <c r="U123" i="54" s="1"/>
  <c r="J77" i="54"/>
  <c r="U77" i="54" s="1"/>
  <c r="J18" i="54"/>
  <c r="U18" i="54" s="1"/>
  <c r="H49" i="54"/>
  <c r="S49" i="54" s="1"/>
  <c r="H142" i="54"/>
  <c r="S142" i="54" s="1"/>
  <c r="H97" i="54"/>
  <c r="S97" i="54" s="1"/>
  <c r="H126" i="54"/>
  <c r="S126" i="54" s="1"/>
  <c r="H22" i="54"/>
  <c r="S22" i="54" s="1"/>
  <c r="H137" i="54"/>
  <c r="S137" i="54" s="1"/>
  <c r="J110" i="54"/>
  <c r="U110" i="54" s="1"/>
  <c r="J75" i="54"/>
  <c r="U75" i="54" s="1"/>
  <c r="H121" i="54"/>
  <c r="S121" i="54" s="1"/>
  <c r="J131" i="54"/>
  <c r="U131" i="54" s="1"/>
  <c r="J91" i="54"/>
  <c r="U91" i="54" s="1"/>
  <c r="H94" i="54"/>
  <c r="S94" i="54" s="1"/>
  <c r="J86" i="54"/>
  <c r="U86" i="54" s="1"/>
  <c r="H92" i="54"/>
  <c r="S92" i="54" s="1"/>
  <c r="J40" i="54"/>
  <c r="U40" i="54" s="1"/>
  <c r="J145" i="54"/>
  <c r="U145" i="54" s="1"/>
  <c r="J71" i="54"/>
  <c r="U71" i="54" s="1"/>
  <c r="J37" i="54"/>
  <c r="U37" i="54" s="1"/>
  <c r="J105" i="54"/>
  <c r="U105" i="54" s="1"/>
  <c r="J157" i="54"/>
  <c r="U157" i="54" s="1"/>
  <c r="J24" i="54"/>
  <c r="U24" i="54" s="1"/>
  <c r="J119" i="54"/>
  <c r="U119" i="54" s="1"/>
  <c r="J114" i="54"/>
  <c r="U114" i="54" s="1"/>
  <c r="J98" i="54"/>
  <c r="U98" i="54" s="1"/>
  <c r="J97" i="54"/>
  <c r="U97" i="54" s="1"/>
  <c r="J148" i="54"/>
  <c r="U148" i="54" s="1"/>
  <c r="J62" i="54"/>
  <c r="U62" i="54" s="1"/>
  <c r="J137" i="54"/>
  <c r="U137" i="54" s="1"/>
  <c r="J80" i="54"/>
  <c r="U80" i="54" s="1"/>
  <c r="J87" i="54"/>
  <c r="U87" i="54" s="1"/>
  <c r="J149" i="54"/>
  <c r="U149" i="54" s="1"/>
  <c r="J82" i="54"/>
  <c r="U82" i="54" s="1"/>
  <c r="J107" i="54"/>
  <c r="U107" i="54" s="1"/>
  <c r="H117" i="54"/>
  <c r="S117" i="54" s="1"/>
  <c r="H127" i="54"/>
  <c r="S127" i="54" s="1"/>
  <c r="H102" i="54"/>
  <c r="S102" i="54" s="1"/>
  <c r="H88" i="54"/>
  <c r="S88" i="54" s="1"/>
  <c r="H124" i="54"/>
  <c r="S124" i="54" s="1"/>
  <c r="H101" i="54"/>
  <c r="S101" i="54" s="1"/>
  <c r="H138" i="54"/>
  <c r="S138" i="54" s="1"/>
  <c r="H99" i="54"/>
  <c r="S99" i="54" s="1"/>
  <c r="H65" i="54"/>
  <c r="S65" i="54" s="1"/>
  <c r="H154" i="54"/>
  <c r="S154" i="54" s="1"/>
  <c r="H98" i="54"/>
  <c r="S98" i="54" s="1"/>
  <c r="H87" i="54"/>
  <c r="S87" i="54" s="1"/>
  <c r="H111" i="54"/>
  <c r="S111" i="54" s="1"/>
  <c r="I114" i="54"/>
  <c r="T114" i="54" s="1"/>
  <c r="I128" i="54"/>
  <c r="T128" i="54" s="1"/>
  <c r="I96" i="54"/>
  <c r="T96" i="54" s="1"/>
  <c r="I120" i="54"/>
  <c r="T120" i="54" s="1"/>
  <c r="I65" i="54"/>
  <c r="T65" i="54" s="1"/>
  <c r="I150" i="54"/>
  <c r="T150" i="54" s="1"/>
  <c r="G77" i="54"/>
  <c r="R77" i="54" s="1"/>
  <c r="I79" i="54"/>
  <c r="T79" i="54" s="1"/>
  <c r="I145" i="54"/>
  <c r="T145" i="54" s="1"/>
  <c r="I17" i="54"/>
  <c r="T17" i="54" s="1"/>
  <c r="I59" i="54"/>
  <c r="T59" i="54" s="1"/>
  <c r="I23" i="54"/>
  <c r="T23" i="54" s="1"/>
  <c r="G81" i="54"/>
  <c r="R81" i="54" s="1"/>
  <c r="H146" i="54"/>
  <c r="S146" i="54" s="1"/>
  <c r="H105" i="54"/>
  <c r="S105" i="54" s="1"/>
  <c r="H17" i="54"/>
  <c r="S17" i="54" s="1"/>
  <c r="H31" i="54"/>
  <c r="S31" i="54" s="1"/>
  <c r="H144" i="54"/>
  <c r="S144" i="54" s="1"/>
  <c r="H119" i="54"/>
  <c r="S119" i="54" s="1"/>
  <c r="H145" i="54"/>
  <c r="S145" i="54" s="1"/>
  <c r="H33" i="54"/>
  <c r="S33" i="54" s="1"/>
  <c r="I102" i="54"/>
  <c r="T102" i="54" s="1"/>
  <c r="I46" i="54"/>
  <c r="T46" i="54" s="1"/>
  <c r="I134" i="54"/>
  <c r="T134" i="54" s="1"/>
  <c r="H135" i="54"/>
  <c r="S135" i="54" s="1"/>
  <c r="H46" i="54"/>
  <c r="S46" i="54" s="1"/>
  <c r="H80" i="54"/>
  <c r="S80" i="54" s="1"/>
  <c r="H116" i="54"/>
  <c r="S116" i="54" s="1"/>
  <c r="H43" i="54"/>
  <c r="S43" i="54" s="1"/>
  <c r="H44" i="54"/>
  <c r="S44" i="54" s="1"/>
  <c r="H113" i="54"/>
  <c r="S113" i="54" s="1"/>
  <c r="H59" i="54"/>
  <c r="S59" i="54" s="1"/>
  <c r="H93" i="54"/>
  <c r="S93" i="54" s="1"/>
  <c r="H131" i="54"/>
  <c r="S131" i="54" s="1"/>
  <c r="H123" i="54"/>
  <c r="S123" i="54" s="1"/>
  <c r="H81" i="54"/>
  <c r="S81" i="54" s="1"/>
  <c r="I14" i="54"/>
  <c r="T14" i="54" s="1"/>
  <c r="I29" i="54"/>
  <c r="T29" i="54" s="1"/>
  <c r="I82" i="54"/>
  <c r="T82" i="54" s="1"/>
  <c r="H114" i="54"/>
  <c r="S114" i="54" s="1"/>
  <c r="H139" i="54"/>
  <c r="S139" i="54" s="1"/>
  <c r="H30" i="54"/>
  <c r="S30" i="54" s="1"/>
  <c r="H14" i="54"/>
  <c r="S14" i="54" s="1"/>
  <c r="H29" i="54"/>
  <c r="S29" i="54" s="1"/>
  <c r="H27" i="54"/>
  <c r="S27" i="54" s="1"/>
  <c r="H75" i="54"/>
  <c r="S75" i="54" s="1"/>
  <c r="H112" i="54"/>
  <c r="S112" i="54" s="1"/>
  <c r="H91" i="54"/>
  <c r="S91" i="54" s="1"/>
  <c r="H84" i="54"/>
  <c r="S84" i="54" s="1"/>
  <c r="H130" i="54"/>
  <c r="S130" i="54" s="1"/>
  <c r="I71" i="54"/>
  <c r="T71" i="54" s="1"/>
  <c r="H156" i="54"/>
  <c r="S156" i="54" s="1"/>
  <c r="H12" i="54"/>
  <c r="S12" i="54" s="1"/>
  <c r="H41" i="54"/>
  <c r="S41" i="54" s="1"/>
  <c r="H128" i="54"/>
  <c r="S128" i="54" s="1"/>
  <c r="H55" i="54"/>
  <c r="S55" i="54" s="1"/>
  <c r="H82" i="54"/>
  <c r="S82" i="54" s="1"/>
  <c r="H150" i="54"/>
  <c r="S150" i="54" s="1"/>
  <c r="H73" i="54"/>
  <c r="S73" i="54" s="1"/>
  <c r="H28" i="54"/>
  <c r="S28" i="54" s="1"/>
  <c r="H23" i="54"/>
  <c r="S23" i="54" s="1"/>
  <c r="H106" i="54"/>
  <c r="S106" i="54" s="1"/>
  <c r="H40" i="54"/>
  <c r="S40" i="54" s="1"/>
  <c r="H24" i="54"/>
  <c r="S24" i="54" s="1"/>
  <c r="I137" i="54"/>
  <c r="T137" i="54" s="1"/>
  <c r="H15" i="54"/>
  <c r="S15" i="54" s="1"/>
  <c r="H118" i="54"/>
  <c r="S118" i="54" s="1"/>
  <c r="H50" i="54"/>
  <c r="S50" i="54" s="1"/>
  <c r="H96" i="54"/>
  <c r="S96" i="54" s="1"/>
  <c r="H69" i="54"/>
  <c r="S69" i="54" s="1"/>
  <c r="H26" i="54"/>
  <c r="S26" i="54" s="1"/>
  <c r="H125" i="54"/>
  <c r="S125" i="54" s="1"/>
  <c r="H85" i="54"/>
  <c r="S85" i="54" s="1"/>
  <c r="H107" i="54"/>
  <c r="S107" i="54" s="1"/>
  <c r="H35" i="54"/>
  <c r="S35" i="54" s="1"/>
  <c r="H71" i="54"/>
  <c r="S71" i="54" s="1"/>
  <c r="H95" i="54"/>
  <c r="S95" i="54" s="1"/>
  <c r="H133" i="54"/>
  <c r="S133" i="54" s="1"/>
  <c r="H158" i="54"/>
  <c r="S158" i="54" s="1"/>
  <c r="H68" i="54"/>
  <c r="S68" i="54" s="1"/>
  <c r="H159" i="54"/>
  <c r="S159" i="54" s="1"/>
  <c r="H129" i="54"/>
  <c r="S129" i="54" s="1"/>
  <c r="H100" i="54"/>
  <c r="S100" i="54" s="1"/>
  <c r="H18" i="54"/>
  <c r="S18" i="54" s="1"/>
  <c r="H103" i="54"/>
  <c r="S103" i="54" s="1"/>
  <c r="I113" i="54"/>
  <c r="T113" i="54" s="1"/>
  <c r="I99" i="54"/>
  <c r="T99" i="54" s="1"/>
  <c r="I91" i="54"/>
  <c r="T91" i="54" s="1"/>
  <c r="H152" i="54"/>
  <c r="S152" i="54" s="1"/>
  <c r="H110" i="54"/>
  <c r="S110" i="54" s="1"/>
  <c r="H134" i="54"/>
  <c r="S134" i="54" s="1"/>
  <c r="H148" i="54"/>
  <c r="S148" i="54" s="1"/>
  <c r="H120" i="54"/>
  <c r="S120" i="54" s="1"/>
  <c r="H149" i="54"/>
  <c r="S149" i="54" s="1"/>
  <c r="H89" i="54"/>
  <c r="S89" i="54" s="1"/>
  <c r="H21" i="54"/>
  <c r="S21" i="54" s="1"/>
  <c r="H37" i="54"/>
  <c r="S37" i="54" s="1"/>
  <c r="H157" i="54"/>
  <c r="S157" i="54" s="1"/>
  <c r="H62" i="54"/>
  <c r="S62" i="54" s="1"/>
  <c r="H76" i="54"/>
  <c r="S76" i="54" s="1"/>
  <c r="H83" i="54"/>
  <c r="S83" i="54" s="1"/>
  <c r="I24" i="54"/>
  <c r="T24" i="54" s="1"/>
  <c r="I22" i="54"/>
  <c r="T22" i="54" s="1"/>
  <c r="I157" i="54"/>
  <c r="T157" i="54" s="1"/>
  <c r="I62" i="54"/>
  <c r="T62" i="54" s="1"/>
  <c r="I133" i="54"/>
  <c r="T133" i="54" s="1"/>
  <c r="H74" i="54"/>
  <c r="S74" i="54" s="1"/>
  <c r="I81" i="54"/>
  <c r="T81" i="54" s="1"/>
  <c r="I77" i="54"/>
  <c r="T77" i="54" s="1"/>
  <c r="I159" i="54"/>
  <c r="T159" i="54" s="1"/>
  <c r="I118" i="54"/>
  <c r="T118" i="54" s="1"/>
  <c r="I73" i="54"/>
  <c r="T73" i="54" s="1"/>
  <c r="I129" i="54"/>
  <c r="T129" i="54" s="1"/>
  <c r="I94" i="54"/>
  <c r="T94" i="54" s="1"/>
  <c r="J118" i="54"/>
  <c r="U118" i="54" s="1"/>
  <c r="I116" i="54"/>
  <c r="T116" i="54" s="1"/>
  <c r="I76" i="54"/>
  <c r="T76" i="54" s="1"/>
  <c r="I87" i="54"/>
  <c r="T87" i="54" s="1"/>
  <c r="I143" i="54"/>
  <c r="T143" i="54" s="1"/>
  <c r="I126" i="54"/>
  <c r="T126" i="54" s="1"/>
  <c r="G73" i="54"/>
  <c r="R73" i="54" s="1"/>
  <c r="G51" i="54"/>
  <c r="R51" i="54" s="1"/>
  <c r="G66" i="54"/>
  <c r="R66" i="54" s="1"/>
  <c r="G132" i="54"/>
  <c r="R132" i="54" s="1"/>
  <c r="G19" i="54"/>
  <c r="R19" i="54" s="1"/>
  <c r="G98" i="54"/>
  <c r="R98" i="54" s="1"/>
  <c r="G70" i="54"/>
  <c r="R70" i="54" s="1"/>
  <c r="G47" i="54"/>
  <c r="R47" i="54" s="1"/>
  <c r="G158" i="54"/>
  <c r="R158" i="54" s="1"/>
  <c r="G135" i="54"/>
  <c r="R135" i="54" s="1"/>
  <c r="G60" i="54"/>
  <c r="R60" i="54" s="1"/>
  <c r="G38" i="54"/>
  <c r="R38" i="54" s="1"/>
  <c r="G61" i="54"/>
  <c r="R61" i="54" s="1"/>
  <c r="J27" i="54"/>
  <c r="U27" i="54" s="1"/>
  <c r="G105" i="54"/>
  <c r="R105" i="54" s="1"/>
  <c r="G74" i="54"/>
  <c r="R74" i="54" s="1"/>
  <c r="G133" i="54"/>
  <c r="R133" i="54" s="1"/>
  <c r="G87" i="54"/>
  <c r="R87" i="54" s="1"/>
  <c r="G14" i="54"/>
  <c r="R14" i="54" s="1"/>
  <c r="G20" i="54"/>
  <c r="R20" i="54" s="1"/>
  <c r="G65" i="54"/>
  <c r="R65" i="54" s="1"/>
  <c r="G160" i="54"/>
  <c r="R160" i="54" s="1"/>
  <c r="G64" i="54"/>
  <c r="R64" i="54" s="1"/>
  <c r="G141" i="54"/>
  <c r="R141" i="54" s="1"/>
  <c r="G46" i="54"/>
  <c r="R46" i="54" s="1"/>
  <c r="G153" i="54"/>
  <c r="R153" i="54" s="1"/>
  <c r="G15" i="54"/>
  <c r="R15" i="54" s="1"/>
  <c r="G147" i="54"/>
  <c r="R147" i="54" s="1"/>
  <c r="G129" i="54"/>
  <c r="R129" i="54" s="1"/>
  <c r="G138" i="54"/>
  <c r="R138" i="54" s="1"/>
  <c r="G156" i="54"/>
  <c r="R156" i="54" s="1"/>
  <c r="G40" i="54"/>
  <c r="R40" i="54" s="1"/>
  <c r="G22" i="54"/>
  <c r="R22" i="54" s="1"/>
  <c r="G106" i="54"/>
  <c r="R106" i="54" s="1"/>
  <c r="G127" i="54"/>
  <c r="R127" i="54" s="1"/>
  <c r="G110" i="54"/>
  <c r="R110" i="54" s="1"/>
  <c r="G34" i="54"/>
  <c r="R34" i="54" s="1"/>
  <c r="G72" i="54"/>
  <c r="R72" i="54" s="1"/>
  <c r="G108" i="54"/>
  <c r="R108" i="54" s="1"/>
  <c r="G11" i="54"/>
  <c r="R11" i="54" s="1"/>
  <c r="G137" i="54"/>
  <c r="R137" i="54" s="1"/>
  <c r="G116" i="54"/>
  <c r="R116" i="54" s="1"/>
  <c r="G18" i="54"/>
  <c r="R18" i="54" s="1"/>
  <c r="G54" i="54"/>
  <c r="R54" i="54" s="1"/>
  <c r="G100" i="54"/>
  <c r="R100" i="54" s="1"/>
  <c r="G155" i="54"/>
  <c r="R155" i="54" s="1"/>
  <c r="G115" i="54"/>
  <c r="R115" i="54" s="1"/>
  <c r="G130" i="54"/>
  <c r="R130" i="54" s="1"/>
  <c r="G16" i="54"/>
  <c r="R16" i="54" s="1"/>
  <c r="G58" i="54"/>
  <c r="R58" i="54" s="1"/>
  <c r="G62" i="54"/>
  <c r="R62" i="54" s="1"/>
  <c r="G42" i="54"/>
  <c r="R42" i="54" s="1"/>
  <c r="G41" i="54"/>
  <c r="R41" i="54" s="1"/>
  <c r="G152" i="54"/>
  <c r="R152" i="54" s="1"/>
  <c r="G56" i="54"/>
  <c r="R56" i="54" s="1"/>
  <c r="G57" i="54"/>
  <c r="R57" i="54" s="1"/>
  <c r="G32" i="54"/>
  <c r="R32" i="54" s="1"/>
  <c r="J35" i="54"/>
  <c r="U35" i="54" s="1"/>
  <c r="J81" i="54"/>
  <c r="U81" i="54" s="1"/>
  <c r="G45" i="54"/>
  <c r="R45" i="54" s="1"/>
  <c r="J120" i="54"/>
  <c r="U120" i="54" s="1"/>
  <c r="G83" i="54"/>
  <c r="R83" i="54" s="1"/>
  <c r="G13" i="54"/>
  <c r="R13" i="54" s="1"/>
  <c r="G101" i="54"/>
  <c r="R101" i="54" s="1"/>
  <c r="J116" i="54"/>
  <c r="U116" i="54" s="1"/>
  <c r="G136" i="54"/>
  <c r="R136" i="54" s="1"/>
  <c r="G143" i="54"/>
  <c r="R143" i="54" s="1"/>
  <c r="G99" i="54"/>
  <c r="R99" i="54" s="1"/>
  <c r="G71" i="54"/>
  <c r="R71" i="54" s="1"/>
  <c r="G114" i="54"/>
  <c r="R114" i="54" s="1"/>
  <c r="J54" i="54"/>
  <c r="U54" i="54" s="1"/>
  <c r="J68" i="54"/>
  <c r="U68" i="54" s="1"/>
  <c r="H36" i="54"/>
  <c r="S36" i="54" s="1"/>
  <c r="H141" i="54"/>
  <c r="S141" i="54" s="1"/>
  <c r="G124" i="54"/>
  <c r="R124" i="54" s="1"/>
  <c r="J60" i="54"/>
  <c r="U60" i="54" s="1"/>
  <c r="H34" i="54"/>
  <c r="S34" i="54" s="1"/>
  <c r="J129" i="54"/>
  <c r="U129" i="54" s="1"/>
  <c r="G122" i="54"/>
  <c r="R122" i="54" s="1"/>
  <c r="J58" i="54"/>
  <c r="U58" i="54" s="1"/>
  <c r="G157" i="54"/>
  <c r="R157" i="54" s="1"/>
  <c r="J111" i="54"/>
  <c r="U111" i="54" s="1"/>
  <c r="J47" i="54"/>
  <c r="U47" i="54" s="1"/>
  <c r="H140" i="54"/>
  <c r="S140" i="54" s="1"/>
  <c r="J45" i="54"/>
  <c r="U45" i="54" s="1"/>
  <c r="J11" i="54"/>
  <c r="U11" i="54" s="1"/>
  <c r="H132" i="54"/>
  <c r="S132" i="54" s="1"/>
  <c r="J141" i="54"/>
  <c r="U141" i="54" s="1"/>
  <c r="H56" i="54"/>
  <c r="S56" i="54" s="1"/>
  <c r="G28" i="54"/>
  <c r="R28" i="54" s="1"/>
  <c r="J133" i="54"/>
  <c r="U133" i="54" s="1"/>
  <c r="J34" i="54"/>
  <c r="U34" i="54" s="1"/>
  <c r="G144" i="54"/>
  <c r="R144" i="54" s="1"/>
  <c r="G119" i="54"/>
  <c r="R119" i="54" s="1"/>
  <c r="G55" i="54"/>
  <c r="R55" i="54" s="1"/>
  <c r="G75" i="54"/>
  <c r="R75" i="54" s="1"/>
  <c r="H153" i="54"/>
  <c r="S153" i="54" s="1"/>
  <c r="H72" i="54"/>
  <c r="S72" i="54" s="1"/>
  <c r="H47" i="54"/>
  <c r="S47" i="54" s="1"/>
  <c r="H61" i="54"/>
  <c r="S61" i="54" s="1"/>
  <c r="J78" i="54"/>
  <c r="U78" i="54" s="1"/>
  <c r="J48" i="54"/>
  <c r="U48" i="54" s="1"/>
  <c r="G131" i="54"/>
  <c r="R131" i="54" s="1"/>
  <c r="G67" i="54"/>
  <c r="R67" i="54" s="1"/>
  <c r="G82" i="54"/>
  <c r="R82" i="54" s="1"/>
  <c r="J96" i="54"/>
  <c r="U96" i="54" s="1"/>
  <c r="H32" i="54"/>
  <c r="S32" i="54" s="1"/>
  <c r="G27" i="54"/>
  <c r="R27" i="54" s="1"/>
  <c r="H42" i="54"/>
  <c r="S42" i="54" s="1"/>
  <c r="I51" i="54"/>
  <c r="T51" i="54" s="1"/>
  <c r="J112" i="54"/>
  <c r="U112" i="54" s="1"/>
  <c r="H48" i="54"/>
  <c r="S48" i="54" s="1"/>
  <c r="G151" i="54"/>
  <c r="R151" i="54" s="1"/>
  <c r="G84" i="54"/>
  <c r="R84" i="54" s="1"/>
  <c r="J139" i="54"/>
  <c r="U139" i="54" s="1"/>
  <c r="I107" i="54"/>
  <c r="T107" i="54" s="1"/>
  <c r="H90" i="54"/>
  <c r="S90" i="54" s="1"/>
  <c r="H136" i="54"/>
  <c r="S136" i="54" s="1"/>
  <c r="G111" i="54"/>
  <c r="R111" i="54" s="1"/>
  <c r="I119" i="54"/>
  <c r="T119" i="54" s="1"/>
  <c r="J73" i="54"/>
  <c r="U73" i="54" s="1"/>
  <c r="J95" i="54"/>
  <c r="U95" i="54" s="1"/>
  <c r="G142" i="54"/>
  <c r="R142" i="54" s="1"/>
  <c r="G78" i="54"/>
  <c r="R78" i="54" s="1"/>
  <c r="G112" i="54"/>
  <c r="R112" i="54" s="1"/>
  <c r="G109" i="54"/>
  <c r="R109" i="54" s="1"/>
  <c r="G104" i="54"/>
  <c r="R104" i="54" s="1"/>
  <c r="J126" i="54"/>
  <c r="U126" i="54" s="1"/>
  <c r="J44" i="54"/>
  <c r="U44" i="54" s="1"/>
  <c r="G50" i="54"/>
  <c r="R50" i="54" s="1"/>
  <c r="J113" i="54"/>
  <c r="U113" i="54" s="1"/>
  <c r="G128" i="54"/>
  <c r="R128" i="54" s="1"/>
  <c r="J64" i="54"/>
  <c r="U64" i="54" s="1"/>
  <c r="G39" i="54"/>
  <c r="R39" i="54" s="1"/>
  <c r="J150" i="54"/>
  <c r="U150" i="54" s="1"/>
  <c r="G31" i="54"/>
  <c r="R31" i="54" s="1"/>
  <c r="H147" i="54"/>
  <c r="S147" i="54" s="1"/>
  <c r="G29" i="54"/>
  <c r="R29" i="54" s="1"/>
  <c r="G48" i="54"/>
  <c r="R48" i="54" s="1"/>
  <c r="G102" i="54"/>
  <c r="R102" i="54" s="1"/>
  <c r="G52" i="54"/>
  <c r="R52" i="54" s="1"/>
  <c r="G154" i="54"/>
  <c r="R154" i="54" s="1"/>
  <c r="H122" i="54"/>
  <c r="S122" i="54" s="1"/>
  <c r="G30" i="54"/>
  <c r="R30" i="54" s="1"/>
  <c r="G17" i="54"/>
  <c r="R17" i="54" s="1"/>
  <c r="G118" i="54"/>
  <c r="R118" i="54" s="1"/>
  <c r="J138" i="54"/>
  <c r="U138" i="54" s="1"/>
  <c r="H151" i="54"/>
  <c r="S151" i="54" s="1"/>
  <c r="J52" i="54"/>
  <c r="U52" i="54" s="1"/>
  <c r="G146" i="54"/>
  <c r="R146" i="54" s="1"/>
  <c r="G49" i="54"/>
  <c r="R49" i="54" s="1"/>
  <c r="H160" i="54"/>
  <c r="S160" i="54" s="1"/>
  <c r="H77" i="54"/>
  <c r="S77" i="54" s="1"/>
  <c r="J74" i="54"/>
  <c r="U74" i="54" s="1"/>
  <c r="G159" i="54"/>
  <c r="R159" i="54" s="1"/>
  <c r="H16" i="54"/>
  <c r="S16" i="54" s="1"/>
  <c r="J21" i="54"/>
  <c r="U21" i="54" s="1"/>
  <c r="G107" i="54"/>
  <c r="R107" i="54" s="1"/>
  <c r="G12" i="54"/>
  <c r="R12" i="54" s="1"/>
  <c r="H58" i="54"/>
  <c r="S58" i="54" s="1"/>
  <c r="G89" i="54"/>
  <c r="R89" i="54" s="1"/>
  <c r="J25" i="54"/>
  <c r="U25" i="54" s="1"/>
  <c r="H143" i="54"/>
  <c r="S143" i="54" s="1"/>
  <c r="J15" i="54"/>
  <c r="U15" i="54" s="1"/>
  <c r="G126" i="54"/>
  <c r="R126" i="54" s="1"/>
  <c r="H25" i="54"/>
  <c r="S25" i="54" s="1"/>
  <c r="J146" i="54"/>
  <c r="U146" i="54" s="1"/>
  <c r="H45" i="54"/>
  <c r="S45" i="54" s="1"/>
  <c r="G103" i="54"/>
  <c r="R103" i="54" s="1"/>
  <c r="H86" i="54"/>
  <c r="S86" i="54" s="1"/>
  <c r="G68" i="54"/>
  <c r="R68" i="54" s="1"/>
  <c r="J41" i="54"/>
  <c r="U41" i="54" s="1"/>
  <c r="J152" i="54"/>
  <c r="U152" i="54" s="1"/>
  <c r="J130" i="54"/>
  <c r="U130" i="54" s="1"/>
  <c r="H109" i="54"/>
  <c r="S109" i="54" s="1"/>
  <c r="H104" i="54"/>
  <c r="S104" i="54" s="1"/>
  <c r="J53" i="54"/>
  <c r="U53" i="54" s="1"/>
  <c r="J124" i="54"/>
  <c r="U124" i="54" s="1"/>
  <c r="J51" i="54"/>
  <c r="U51" i="54" s="1"/>
  <c r="G21" i="54"/>
  <c r="R21" i="54" s="1"/>
  <c r="G148" i="54"/>
  <c r="R148" i="54" s="1"/>
  <c r="J94" i="54"/>
  <c r="U94" i="54" s="1"/>
  <c r="J76" i="54"/>
  <c r="U76" i="54" s="1"/>
  <c r="J140" i="54"/>
  <c r="U140" i="54" s="1"/>
  <c r="J67" i="54"/>
  <c r="U67" i="54" s="1"/>
  <c r="G86" i="54"/>
  <c r="R86" i="54" s="1"/>
  <c r="G120" i="54"/>
  <c r="R120" i="54" s="1"/>
  <c r="J56" i="54"/>
  <c r="U56" i="54" s="1"/>
  <c r="H51" i="54"/>
  <c r="S51" i="54" s="1"/>
  <c r="G43" i="54"/>
  <c r="R43" i="54" s="1"/>
  <c r="G90" i="54"/>
  <c r="R90" i="54" s="1"/>
  <c r="J57" i="54"/>
  <c r="U57" i="54" s="1"/>
  <c r="G53" i="54"/>
  <c r="R53" i="54" s="1"/>
  <c r="J143" i="54"/>
  <c r="U143" i="54" s="1"/>
  <c r="J93" i="54"/>
  <c r="U93" i="54" s="1"/>
  <c r="H13" i="54"/>
  <c r="S13" i="54" s="1"/>
  <c r="H67" i="54"/>
  <c r="S67" i="54" s="1"/>
  <c r="G113" i="54"/>
  <c r="R113" i="54" s="1"/>
  <c r="H64" i="54"/>
  <c r="S64" i="54" s="1"/>
  <c r="G125" i="54"/>
  <c r="R125" i="54" s="1"/>
  <c r="G85" i="54"/>
  <c r="R85" i="54" s="1"/>
  <c r="G88" i="54"/>
  <c r="R88" i="54" s="1"/>
  <c r="J147" i="54"/>
  <c r="U147" i="54" s="1"/>
  <c r="J83" i="54"/>
  <c r="U83" i="54" s="1"/>
  <c r="H19" i="54"/>
  <c r="S19" i="54" s="1"/>
  <c r="J66" i="54"/>
  <c r="U66" i="54" s="1"/>
  <c r="J13" i="54"/>
  <c r="U13" i="54" s="1"/>
  <c r="G149" i="54"/>
  <c r="R149" i="54" s="1"/>
  <c r="H20" i="54"/>
  <c r="S20" i="54" s="1"/>
  <c r="J122" i="54"/>
  <c r="U122" i="54" s="1"/>
  <c r="G26" i="54"/>
  <c r="R26" i="54" s="1"/>
  <c r="G92" i="54"/>
  <c r="R92" i="54" s="1"/>
  <c r="G23" i="54"/>
  <c r="R23" i="54" s="1"/>
  <c r="G94" i="54"/>
  <c r="R94" i="54" s="1"/>
  <c r="G35" i="54"/>
  <c r="R35" i="54" s="1"/>
  <c r="J50" i="54"/>
  <c r="U50" i="54" s="1"/>
  <c r="J49" i="54"/>
  <c r="U49" i="54" s="1"/>
  <c r="J160" i="54"/>
  <c r="U160" i="54" s="1"/>
  <c r="J135" i="54"/>
  <c r="U135" i="54" s="1"/>
  <c r="J103" i="54"/>
  <c r="U103" i="54" s="1"/>
  <c r="H39" i="54"/>
  <c r="S39" i="54" s="1"/>
  <c r="G37" i="54"/>
  <c r="R37" i="54" s="1"/>
  <c r="J100" i="54"/>
  <c r="U100" i="54" s="1"/>
  <c r="G36" i="54"/>
  <c r="R36" i="54" s="1"/>
  <c r="J106" i="54"/>
  <c r="U106" i="54" s="1"/>
  <c r="H78" i="54"/>
  <c r="S78" i="54" s="1"/>
  <c r="J70" i="54"/>
  <c r="U70" i="54" s="1"/>
  <c r="H52" i="54"/>
  <c r="S52" i="54" s="1"/>
  <c r="J121" i="54"/>
  <c r="U121" i="54" s="1"/>
  <c r="H79" i="54"/>
  <c r="S79" i="54" s="1"/>
  <c r="G140" i="54"/>
  <c r="R140" i="54" s="1"/>
  <c r="H70" i="54"/>
  <c r="S70" i="54" s="1"/>
  <c r="G76" i="54"/>
  <c r="R76" i="54" s="1"/>
  <c r="G63" i="54"/>
  <c r="R63" i="54" s="1"/>
  <c r="J28" i="54"/>
  <c r="U28" i="54" s="1"/>
  <c r="J154" i="54"/>
  <c r="U154" i="54" s="1"/>
  <c r="G25" i="54"/>
  <c r="R25" i="54" s="1"/>
  <c r="G79" i="54"/>
  <c r="R79" i="54" s="1"/>
  <c r="J72" i="54"/>
  <c r="U72" i="54" s="1"/>
  <c r="G96" i="54"/>
  <c r="R96" i="54" s="1"/>
  <c r="J36" i="54"/>
  <c r="U36" i="54" s="1"/>
  <c r="J46" i="54"/>
  <c r="U46" i="54" s="1"/>
  <c r="J19" i="54"/>
  <c r="U19" i="54" s="1"/>
  <c r="H66" i="54"/>
  <c r="S66" i="54" s="1"/>
  <c r="J16" i="54"/>
  <c r="U16" i="54" s="1"/>
  <c r="G134" i="54"/>
  <c r="R134" i="54" s="1"/>
  <c r="J20" i="54"/>
  <c r="U20" i="54" s="1"/>
  <c r="G121" i="54"/>
  <c r="R121" i="54" s="1"/>
  <c r="G44" i="54"/>
  <c r="R44" i="54" s="1"/>
  <c r="J61" i="54"/>
  <c r="U61" i="54" s="1"/>
  <c r="G145" i="54"/>
  <c r="R145" i="54" s="1"/>
  <c r="J132" i="54"/>
  <c r="U132" i="54" s="1"/>
  <c r="H155" i="54"/>
  <c r="S155" i="54" s="1"/>
  <c r="G117" i="54"/>
  <c r="R117" i="54" s="1"/>
  <c r="G150" i="54"/>
  <c r="R150" i="54" s="1"/>
  <c r="H54" i="54"/>
  <c r="S54" i="54" s="1"/>
  <c r="G123" i="54"/>
  <c r="R123" i="54" s="1"/>
  <c r="J159" i="54"/>
  <c r="U159" i="54" s="1"/>
  <c r="G95" i="54"/>
  <c r="R95" i="54" s="1"/>
  <c r="G69" i="54"/>
  <c r="R69" i="54" s="1"/>
  <c r="H60" i="54"/>
  <c r="S60" i="54" s="1"/>
  <c r="G97" i="54"/>
  <c r="R97" i="54" s="1"/>
  <c r="G33" i="54"/>
  <c r="R33" i="54" s="1"/>
  <c r="G139" i="54"/>
  <c r="R139" i="54" s="1"/>
  <c r="H57" i="54"/>
  <c r="S57" i="54" s="1"/>
  <c r="G93" i="54"/>
  <c r="R93" i="54" s="1"/>
  <c r="H108" i="54"/>
  <c r="S108" i="54" s="1"/>
  <c r="G59" i="54"/>
  <c r="R59" i="54" s="1"/>
  <c r="J90" i="54"/>
  <c r="U90" i="54" s="1"/>
  <c r="G24" i="54"/>
  <c r="R24" i="54" s="1"/>
  <c r="J127" i="54"/>
  <c r="U127" i="54" s="1"/>
  <c r="H63" i="54"/>
  <c r="S63" i="54" s="1"/>
  <c r="J92" i="54"/>
  <c r="U92" i="54" s="1"/>
  <c r="H115" i="54"/>
  <c r="S115" i="54" s="1"/>
  <c r="G80" i="54"/>
  <c r="R80" i="54" s="1"/>
  <c r="H38" i="54"/>
  <c r="S38" i="54" s="1"/>
  <c r="J26" i="54"/>
  <c r="U26" i="54" s="1"/>
  <c r="J153" i="54"/>
  <c r="U153" i="54" s="1"/>
  <c r="H53" i="54"/>
  <c r="S53" i="54" s="1"/>
  <c r="J108" i="54"/>
  <c r="U108" i="54" s="1"/>
  <c r="H11" i="54"/>
  <c r="S11" i="54" s="1"/>
  <c r="J43" i="54"/>
  <c r="U43" i="54" s="1"/>
  <c r="F10" i="54"/>
  <c r="Q10" i="54" s="1"/>
  <c r="V10" i="54" s="1"/>
  <c r="F11" i="54"/>
  <c r="Q11" i="54" s="1"/>
  <c r="M36" i="85" l="1"/>
  <c r="L34" i="85" s="1"/>
  <c r="G36" i="85"/>
  <c r="G37" i="85"/>
  <c r="M36" i="87"/>
  <c r="L34" i="87" s="1"/>
  <c r="G37" i="87"/>
  <c r="G36" i="87"/>
  <c r="E36" i="77"/>
  <c r="F25" i="54"/>
  <c r="Q25" i="54" s="1"/>
  <c r="V25" i="54" s="1"/>
  <c r="O25" i="54" s="1"/>
  <c r="F34" i="54"/>
  <c r="Q34" i="54" s="1"/>
  <c r="V34" i="54" s="1"/>
  <c r="O34" i="54" s="1"/>
  <c r="F135" i="54"/>
  <c r="Q135" i="54" s="1"/>
  <c r="V135" i="54" s="1"/>
  <c r="O135" i="54" s="1"/>
  <c r="F97" i="54"/>
  <c r="Q97" i="54" s="1"/>
  <c r="V97" i="54" s="1"/>
  <c r="O97" i="54" s="1"/>
  <c r="F64" i="54"/>
  <c r="Q64" i="54" s="1"/>
  <c r="V64" i="54" s="1"/>
  <c r="O64" i="54" s="1"/>
  <c r="F147" i="54"/>
  <c r="Q147" i="54" s="1"/>
  <c r="V147" i="54" s="1"/>
  <c r="O147" i="54" s="1"/>
  <c r="F82" i="54"/>
  <c r="Q82" i="54" s="1"/>
  <c r="V82" i="54" s="1"/>
  <c r="O82" i="54" s="1"/>
  <c r="F38" i="54"/>
  <c r="Q38" i="54" s="1"/>
  <c r="V38" i="54" s="1"/>
  <c r="O38" i="54" s="1"/>
  <c r="V11" i="54"/>
  <c r="O11" i="54" s="1"/>
  <c r="C23" i="47"/>
  <c r="C25" i="47" s="1"/>
  <c r="E36" i="44"/>
  <c r="O10" i="54"/>
  <c r="F70" i="54"/>
  <c r="Q70" i="54" s="1"/>
  <c r="F29" i="54"/>
  <c r="Q29" i="54" s="1"/>
  <c r="F148" i="54"/>
  <c r="Q148" i="54" s="1"/>
  <c r="F27" i="54"/>
  <c r="Q27" i="54" s="1"/>
  <c r="F47" i="54"/>
  <c r="Q47" i="54" s="1"/>
  <c r="F158" i="54"/>
  <c r="Q158" i="54" s="1"/>
  <c r="F146" i="54"/>
  <c r="Q146" i="54" s="1"/>
  <c r="F42" i="54"/>
  <c r="Q42" i="54" s="1"/>
  <c r="F155" i="54"/>
  <c r="Q155" i="54" s="1"/>
  <c r="F36" i="54"/>
  <c r="Q36" i="54" s="1"/>
  <c r="F61" i="54"/>
  <c r="Q61" i="54" s="1"/>
  <c r="F51" i="54"/>
  <c r="Q51" i="54" s="1"/>
  <c r="F80" i="54"/>
  <c r="Q80" i="54" s="1"/>
  <c r="F137" i="54"/>
  <c r="Q137" i="54" s="1"/>
  <c r="F83" i="54"/>
  <c r="Q83" i="54" s="1"/>
  <c r="F130" i="54"/>
  <c r="Q130" i="54" s="1"/>
  <c r="F129" i="54"/>
  <c r="Q129" i="54" s="1"/>
  <c r="F81" i="54"/>
  <c r="Q81" i="54" s="1"/>
  <c r="F159" i="54"/>
  <c r="Q159" i="54" s="1"/>
  <c r="F60" i="54"/>
  <c r="Q60" i="54" s="1"/>
  <c r="F65" i="54"/>
  <c r="Q65" i="54" s="1"/>
  <c r="F14" i="54"/>
  <c r="Q14" i="54" s="1"/>
  <c r="F120" i="54"/>
  <c r="Q120" i="54" s="1"/>
  <c r="F67" i="54"/>
  <c r="Q67" i="54" s="1"/>
  <c r="F151" i="54"/>
  <c r="Q151" i="54" s="1"/>
  <c r="F99" i="54"/>
  <c r="Q99" i="54" s="1"/>
  <c r="F106" i="54"/>
  <c r="Q106" i="54" s="1"/>
  <c r="F68" i="54"/>
  <c r="Q68" i="54" s="1"/>
  <c r="F134" i="54"/>
  <c r="Q134" i="54" s="1"/>
  <c r="F138" i="54"/>
  <c r="Q138" i="54" s="1"/>
  <c r="F153" i="54"/>
  <c r="Q153" i="54" s="1"/>
  <c r="F88" i="54"/>
  <c r="Q88" i="54" s="1"/>
  <c r="F102" i="54"/>
  <c r="Q102" i="54" s="1"/>
  <c r="F109" i="54"/>
  <c r="Q109" i="54" s="1"/>
  <c r="F100" i="54"/>
  <c r="Q100" i="54" s="1"/>
  <c r="F77" i="54"/>
  <c r="Q77" i="54" s="1"/>
  <c r="F90" i="54"/>
  <c r="Q90" i="54" s="1"/>
  <c r="F133" i="54"/>
  <c r="Q133" i="54" s="1"/>
  <c r="F18" i="54"/>
  <c r="Q18" i="54" s="1"/>
  <c r="F24" i="54"/>
  <c r="Q24" i="54" s="1"/>
  <c r="F62" i="54"/>
  <c r="Q62" i="54" s="1"/>
  <c r="F37" i="54"/>
  <c r="Q37" i="54" s="1"/>
  <c r="F41" i="54"/>
  <c r="Q41" i="54" s="1"/>
  <c r="F104" i="54"/>
  <c r="Q104" i="54" s="1"/>
  <c r="F142" i="54"/>
  <c r="Q142" i="54" s="1"/>
  <c r="F91" i="54"/>
  <c r="Q91" i="54" s="1"/>
  <c r="F128" i="54"/>
  <c r="Q128" i="54" s="1"/>
  <c r="F103" i="54"/>
  <c r="Q103" i="54" s="1"/>
  <c r="F40" i="54"/>
  <c r="Q40" i="54" s="1"/>
  <c r="F132" i="54"/>
  <c r="Q132" i="54" s="1"/>
  <c r="F94" i="54"/>
  <c r="Q94" i="54" s="1"/>
  <c r="F85" i="54"/>
  <c r="Q85" i="54" s="1"/>
  <c r="F26" i="54"/>
  <c r="Q26" i="54" s="1"/>
  <c r="F49" i="54"/>
  <c r="Q49" i="54" s="1"/>
  <c r="F119" i="54"/>
  <c r="Q119" i="54" s="1"/>
  <c r="F71" i="54"/>
  <c r="Q71" i="54" s="1"/>
  <c r="F17" i="54"/>
  <c r="Q17" i="54" s="1"/>
  <c r="F141" i="54"/>
  <c r="Q141" i="54" s="1"/>
  <c r="F74" i="54"/>
  <c r="Q74" i="54" s="1"/>
  <c r="F43" i="54"/>
  <c r="Q43" i="54" s="1"/>
  <c r="F22" i="54"/>
  <c r="Q22" i="54" s="1"/>
  <c r="F28" i="54"/>
  <c r="Q28" i="54" s="1"/>
  <c r="F16" i="54"/>
  <c r="Q16" i="54" s="1"/>
  <c r="F86" i="54"/>
  <c r="Q86" i="54" s="1"/>
  <c r="F114" i="54"/>
  <c r="Q114" i="54" s="1"/>
  <c r="F98" i="54"/>
  <c r="Q98" i="54" s="1"/>
  <c r="F19" i="54"/>
  <c r="Q19" i="54" s="1"/>
  <c r="F127" i="54"/>
  <c r="Q127" i="54" s="1"/>
  <c r="F57" i="54"/>
  <c r="Q57" i="54" s="1"/>
  <c r="F66" i="54"/>
  <c r="Q66" i="54" s="1"/>
  <c r="F124" i="54"/>
  <c r="Q124" i="54" s="1"/>
  <c r="F75" i="54"/>
  <c r="Q75" i="54" s="1"/>
  <c r="F46" i="54"/>
  <c r="Q46" i="54" s="1"/>
  <c r="F117" i="54"/>
  <c r="Q117" i="54" s="1"/>
  <c r="F72" i="54"/>
  <c r="Q72" i="54" s="1"/>
  <c r="F73" i="54"/>
  <c r="Q73" i="54" s="1"/>
  <c r="F112" i="54"/>
  <c r="Q112" i="54" s="1"/>
  <c r="F84" i="54"/>
  <c r="Q84" i="54" s="1"/>
  <c r="F12" i="54"/>
  <c r="Q12" i="54" s="1"/>
  <c r="F118" i="54"/>
  <c r="Q118" i="54" s="1"/>
  <c r="F50" i="54"/>
  <c r="Q50" i="54" s="1"/>
  <c r="F110" i="54"/>
  <c r="Q110" i="54" s="1"/>
  <c r="F105" i="54"/>
  <c r="Q105" i="54" s="1"/>
  <c r="F136" i="54"/>
  <c r="Q136" i="54" s="1"/>
  <c r="F122" i="54"/>
  <c r="Q122" i="54" s="1"/>
  <c r="F154" i="54"/>
  <c r="Q154" i="54" s="1"/>
  <c r="F30" i="54"/>
  <c r="Q30" i="54" s="1"/>
  <c r="F108" i="54"/>
  <c r="Q108" i="54" s="1"/>
  <c r="F145" i="54"/>
  <c r="Q145" i="54" s="1"/>
  <c r="F101" i="54"/>
  <c r="Q101" i="54" s="1"/>
  <c r="F111" i="54"/>
  <c r="Q111" i="54" s="1"/>
  <c r="F115" i="54"/>
  <c r="Q115" i="54" s="1"/>
  <c r="F89" i="54"/>
  <c r="Q89" i="54" s="1"/>
  <c r="F93" i="54"/>
  <c r="Q93" i="54" s="1"/>
  <c r="F113" i="54"/>
  <c r="Q113" i="54" s="1"/>
  <c r="F107" i="54"/>
  <c r="Q107" i="54" s="1"/>
  <c r="F13" i="54"/>
  <c r="Q13" i="54" s="1"/>
  <c r="F23" i="54"/>
  <c r="Q23" i="54" s="1"/>
  <c r="F144" i="54"/>
  <c r="Q144" i="54" s="1"/>
  <c r="F116" i="54"/>
  <c r="Q116" i="54" s="1"/>
  <c r="F76" i="54"/>
  <c r="Q76" i="54" s="1"/>
  <c r="F54" i="54"/>
  <c r="Q54" i="54" s="1"/>
  <c r="F139" i="54"/>
  <c r="Q139" i="54" s="1"/>
  <c r="F15" i="54"/>
  <c r="Q15" i="54" s="1"/>
  <c r="F39" i="54"/>
  <c r="Q39" i="54" s="1"/>
  <c r="F125" i="54"/>
  <c r="Q125" i="54" s="1"/>
  <c r="F92" i="54"/>
  <c r="Q92" i="54" s="1"/>
  <c r="F35" i="54"/>
  <c r="Q35" i="54" s="1"/>
  <c r="F121" i="54"/>
  <c r="Q121" i="54" s="1"/>
  <c r="F79" i="54"/>
  <c r="Q79" i="54" s="1"/>
  <c r="F21" i="54"/>
  <c r="Q21" i="54" s="1"/>
  <c r="F123" i="54"/>
  <c r="Q123" i="54" s="1"/>
  <c r="F59" i="54"/>
  <c r="Q59" i="54" s="1"/>
  <c r="F156" i="54"/>
  <c r="Q156" i="54" s="1"/>
  <c r="F140" i="54"/>
  <c r="Q140" i="54" s="1"/>
  <c r="F126" i="54"/>
  <c r="Q126" i="54" s="1"/>
  <c r="F32" i="54"/>
  <c r="Q32" i="54" s="1"/>
  <c r="F96" i="54"/>
  <c r="Q96" i="54" s="1"/>
  <c r="F52" i="54"/>
  <c r="Q52" i="54" s="1"/>
  <c r="F31" i="54"/>
  <c r="Q31" i="54" s="1"/>
  <c r="F150" i="54"/>
  <c r="Q150" i="54" s="1"/>
  <c r="F157" i="54"/>
  <c r="Q157" i="54" s="1"/>
  <c r="F87" i="54"/>
  <c r="Q87" i="54" s="1"/>
  <c r="F55" i="54"/>
  <c r="Q55" i="54" s="1"/>
  <c r="F63" i="54"/>
  <c r="Q63" i="54" s="1"/>
  <c r="F45" i="54"/>
  <c r="Q45" i="54" s="1"/>
  <c r="F149" i="54"/>
  <c r="Q149" i="54" s="1"/>
  <c r="F53" i="54"/>
  <c r="Q53" i="54" s="1"/>
  <c r="F78" i="54"/>
  <c r="Q78" i="54" s="1"/>
  <c r="F69" i="54"/>
  <c r="Q69" i="54" s="1"/>
  <c r="F143" i="54"/>
  <c r="Q143" i="54" s="1"/>
  <c r="F58" i="54"/>
  <c r="Q58" i="54" s="1"/>
  <c r="F152" i="54"/>
  <c r="Q152" i="54" s="1"/>
  <c r="F160" i="54"/>
  <c r="Q160" i="54" s="1"/>
  <c r="F33" i="54"/>
  <c r="Q33" i="54" s="1"/>
  <c r="F44" i="54"/>
  <c r="Q44" i="54" s="1"/>
  <c r="F131" i="54"/>
  <c r="Q131" i="54" s="1"/>
  <c r="F20" i="54"/>
  <c r="Q20" i="54" s="1"/>
  <c r="F56" i="54"/>
  <c r="Q56" i="54" s="1"/>
  <c r="F95" i="54"/>
  <c r="Q95" i="54" s="1"/>
  <c r="F48" i="54"/>
  <c r="Q48" i="54" s="1"/>
  <c r="E41" i="38"/>
  <c r="M36" i="77" l="1"/>
  <c r="L34" i="77" s="1"/>
  <c r="G36" i="77"/>
  <c r="G37" i="77"/>
  <c r="C24" i="47"/>
  <c r="Q3" i="47"/>
  <c r="K11" i="54"/>
  <c r="L11" i="54" s="1"/>
  <c r="V131" i="54"/>
  <c r="O131" i="54" s="1"/>
  <c r="V45" i="54"/>
  <c r="O45" i="54" s="1"/>
  <c r="V123" i="54"/>
  <c r="O123" i="54" s="1"/>
  <c r="V116" i="54"/>
  <c r="O116" i="54" s="1"/>
  <c r="V108" i="54"/>
  <c r="O108" i="54" s="1"/>
  <c r="V73" i="54"/>
  <c r="O73" i="54" s="1"/>
  <c r="V86" i="54"/>
  <c r="O86" i="54" s="1"/>
  <c r="V26" i="54"/>
  <c r="O26" i="54" s="1"/>
  <c r="V37" i="54"/>
  <c r="O37" i="54" s="1"/>
  <c r="V138" i="54"/>
  <c r="O138" i="54" s="1"/>
  <c r="V81" i="54"/>
  <c r="O81" i="54" s="1"/>
  <c r="V158" i="54"/>
  <c r="O158" i="54" s="1"/>
  <c r="V44" i="54"/>
  <c r="O44" i="54" s="1"/>
  <c r="V63" i="54"/>
  <c r="O63" i="54" s="1"/>
  <c r="V21" i="54"/>
  <c r="O21" i="54" s="1"/>
  <c r="V144" i="54"/>
  <c r="O144" i="54" s="1"/>
  <c r="V30" i="54"/>
  <c r="O30" i="54" s="1"/>
  <c r="V72" i="54"/>
  <c r="O72" i="54" s="1"/>
  <c r="V16" i="54"/>
  <c r="O16" i="54" s="1"/>
  <c r="V85" i="54"/>
  <c r="O85" i="54" s="1"/>
  <c r="V62" i="54"/>
  <c r="O62" i="54" s="1"/>
  <c r="V134" i="54"/>
  <c r="O134" i="54" s="1"/>
  <c r="V129" i="54"/>
  <c r="O129" i="54" s="1"/>
  <c r="V47" i="54"/>
  <c r="O47" i="54" s="1"/>
  <c r="V61" i="54"/>
  <c r="O61" i="54" s="1"/>
  <c r="V33" i="54"/>
  <c r="O33" i="54" s="1"/>
  <c r="V55" i="54"/>
  <c r="O55" i="54" s="1"/>
  <c r="V79" i="54"/>
  <c r="O79" i="54" s="1"/>
  <c r="V23" i="54"/>
  <c r="O23" i="54" s="1"/>
  <c r="V154" i="54"/>
  <c r="O154" i="54" s="1"/>
  <c r="V117" i="54"/>
  <c r="O117" i="54" s="1"/>
  <c r="V28" i="54"/>
  <c r="O28" i="54" s="1"/>
  <c r="V94" i="54"/>
  <c r="O94" i="54" s="1"/>
  <c r="V24" i="54"/>
  <c r="O24" i="54" s="1"/>
  <c r="V68" i="54"/>
  <c r="O68" i="54" s="1"/>
  <c r="V130" i="54"/>
  <c r="O130" i="54" s="1"/>
  <c r="V27" i="54"/>
  <c r="O27" i="54" s="1"/>
  <c r="V160" i="54"/>
  <c r="O160" i="54" s="1"/>
  <c r="V87" i="54"/>
  <c r="O87" i="54" s="1"/>
  <c r="V121" i="54"/>
  <c r="O121" i="54" s="1"/>
  <c r="V13" i="54"/>
  <c r="O13" i="54" s="1"/>
  <c r="V122" i="54"/>
  <c r="O122" i="54" s="1"/>
  <c r="V46" i="54"/>
  <c r="O46" i="54" s="1"/>
  <c r="V132" i="54"/>
  <c r="O132" i="54" s="1"/>
  <c r="V18" i="54"/>
  <c r="O18" i="54" s="1"/>
  <c r="V106" i="54"/>
  <c r="O106" i="54" s="1"/>
  <c r="V83" i="54"/>
  <c r="O83" i="54" s="1"/>
  <c r="V148" i="54"/>
  <c r="O148" i="54" s="1"/>
  <c r="V152" i="54"/>
  <c r="O152" i="54" s="1"/>
  <c r="V157" i="54"/>
  <c r="O157" i="54" s="1"/>
  <c r="V35" i="54"/>
  <c r="O35" i="54" s="1"/>
  <c r="V92" i="54"/>
  <c r="O92" i="54" s="1"/>
  <c r="V107" i="54"/>
  <c r="O107" i="54" s="1"/>
  <c r="V136" i="54"/>
  <c r="O136" i="54" s="1"/>
  <c r="V75" i="54"/>
  <c r="O75" i="54" s="1"/>
  <c r="V22" i="54"/>
  <c r="O22" i="54" s="1"/>
  <c r="V40" i="54"/>
  <c r="O40" i="54" s="1"/>
  <c r="V133" i="54"/>
  <c r="O133" i="54" s="1"/>
  <c r="V99" i="54"/>
  <c r="O99" i="54" s="1"/>
  <c r="V137" i="54"/>
  <c r="O137" i="54" s="1"/>
  <c r="V29" i="54"/>
  <c r="O29" i="54" s="1"/>
  <c r="V69" i="54"/>
  <c r="O69" i="54" s="1"/>
  <c r="V32" i="54"/>
  <c r="O32" i="54" s="1"/>
  <c r="V58" i="54"/>
  <c r="O58" i="54" s="1"/>
  <c r="V150" i="54"/>
  <c r="O150" i="54" s="1"/>
  <c r="V52" i="54"/>
  <c r="O52" i="54" s="1"/>
  <c r="V125" i="54"/>
  <c r="O125" i="54" s="1"/>
  <c r="V113" i="54"/>
  <c r="O113" i="54" s="1"/>
  <c r="V105" i="54"/>
  <c r="O105" i="54" s="1"/>
  <c r="V124" i="54"/>
  <c r="O124" i="54" s="1"/>
  <c r="V43" i="54"/>
  <c r="O43" i="54" s="1"/>
  <c r="V90" i="54"/>
  <c r="O90" i="54" s="1"/>
  <c r="V151" i="54"/>
  <c r="O151" i="54" s="1"/>
  <c r="V80" i="54"/>
  <c r="O80" i="54" s="1"/>
  <c r="V70" i="54"/>
  <c r="O70" i="54" s="1"/>
  <c r="V143" i="54"/>
  <c r="O143" i="54" s="1"/>
  <c r="V31" i="54"/>
  <c r="O31" i="54" s="1"/>
  <c r="V96" i="54"/>
  <c r="O96" i="54" s="1"/>
  <c r="V39" i="54"/>
  <c r="O39" i="54" s="1"/>
  <c r="V93" i="54"/>
  <c r="O93" i="54" s="1"/>
  <c r="V110" i="54"/>
  <c r="O110" i="54" s="1"/>
  <c r="V66" i="54"/>
  <c r="O66" i="54" s="1"/>
  <c r="V74" i="54"/>
  <c r="O74" i="54" s="1"/>
  <c r="V103" i="54"/>
  <c r="O103" i="54" s="1"/>
  <c r="V77" i="54"/>
  <c r="O77" i="54" s="1"/>
  <c r="V67" i="54"/>
  <c r="O67" i="54" s="1"/>
  <c r="V51" i="54"/>
  <c r="O51" i="54" s="1"/>
  <c r="V15" i="54"/>
  <c r="O15" i="54" s="1"/>
  <c r="V141" i="54"/>
  <c r="O141" i="54" s="1"/>
  <c r="K10" i="54"/>
  <c r="L10" i="54" s="1"/>
  <c r="V48" i="54"/>
  <c r="O48" i="54" s="1"/>
  <c r="V78" i="54"/>
  <c r="O78" i="54" s="1"/>
  <c r="V126" i="54"/>
  <c r="O126" i="54" s="1"/>
  <c r="V139" i="54"/>
  <c r="O139" i="54" s="1"/>
  <c r="V115" i="54"/>
  <c r="O115" i="54" s="1"/>
  <c r="V118" i="54"/>
  <c r="O118" i="54" s="1"/>
  <c r="V127" i="54"/>
  <c r="O127" i="54" s="1"/>
  <c r="V17" i="54"/>
  <c r="O17" i="54" s="1"/>
  <c r="V91" i="54"/>
  <c r="O91" i="54" s="1"/>
  <c r="V109" i="54"/>
  <c r="O109" i="54" s="1"/>
  <c r="V14" i="54"/>
  <c r="O14" i="54" s="1"/>
  <c r="V36" i="54"/>
  <c r="O36" i="54" s="1"/>
  <c r="V50" i="54"/>
  <c r="O50" i="54" s="1"/>
  <c r="V128" i="54"/>
  <c r="O128" i="54" s="1"/>
  <c r="V95" i="54"/>
  <c r="O95" i="54" s="1"/>
  <c r="V53" i="54"/>
  <c r="O53" i="54" s="1"/>
  <c r="V140" i="54"/>
  <c r="O140" i="54" s="1"/>
  <c r="V54" i="54"/>
  <c r="O54" i="54" s="1"/>
  <c r="V111" i="54"/>
  <c r="O111" i="54" s="1"/>
  <c r="V12" i="54"/>
  <c r="O12" i="54" s="1"/>
  <c r="V19" i="54"/>
  <c r="O19" i="54" s="1"/>
  <c r="V71" i="54"/>
  <c r="O71" i="54" s="1"/>
  <c r="V142" i="54"/>
  <c r="O142" i="54" s="1"/>
  <c r="V102" i="54"/>
  <c r="O102" i="54" s="1"/>
  <c r="V65" i="54"/>
  <c r="O65" i="54" s="1"/>
  <c r="V155" i="54"/>
  <c r="O155" i="54" s="1"/>
  <c r="V89" i="54"/>
  <c r="O89" i="54" s="1"/>
  <c r="V100" i="54"/>
  <c r="O100" i="54" s="1"/>
  <c r="V56" i="54"/>
  <c r="O56" i="54" s="1"/>
  <c r="V149" i="54"/>
  <c r="O149" i="54" s="1"/>
  <c r="V156" i="54"/>
  <c r="O156" i="54" s="1"/>
  <c r="V76" i="54"/>
  <c r="O76" i="54" s="1"/>
  <c r="V101" i="54"/>
  <c r="O101" i="54" s="1"/>
  <c r="V84" i="54"/>
  <c r="O84" i="54" s="1"/>
  <c r="V98" i="54"/>
  <c r="O98" i="54" s="1"/>
  <c r="V119" i="54"/>
  <c r="O119" i="54" s="1"/>
  <c r="V104" i="54"/>
  <c r="O104" i="54" s="1"/>
  <c r="V88" i="54"/>
  <c r="O88" i="54" s="1"/>
  <c r="V60" i="54"/>
  <c r="O60" i="54" s="1"/>
  <c r="V42" i="54"/>
  <c r="O42" i="54" s="1"/>
  <c r="M36" i="44"/>
  <c r="L34" i="44" s="1"/>
  <c r="G37" i="44"/>
  <c r="G36" i="44"/>
  <c r="V57" i="54"/>
  <c r="O57" i="54" s="1"/>
  <c r="V120" i="54"/>
  <c r="O120" i="54" s="1"/>
  <c r="V20" i="54"/>
  <c r="O20" i="54" s="1"/>
  <c r="V59" i="54"/>
  <c r="O59" i="54" s="1"/>
  <c r="V145" i="54"/>
  <c r="O145" i="54" s="1"/>
  <c r="V112" i="54"/>
  <c r="O112" i="54" s="1"/>
  <c r="V114" i="54"/>
  <c r="O114" i="54" s="1"/>
  <c r="V49" i="54"/>
  <c r="O49" i="54" s="1"/>
  <c r="V41" i="54"/>
  <c r="O41" i="54" s="1"/>
  <c r="V153" i="54"/>
  <c r="O153" i="54" s="1"/>
  <c r="V159" i="54"/>
  <c r="O159" i="54" s="1"/>
  <c r="V146" i="54"/>
  <c r="O146" i="54" s="1"/>
  <c r="K69" i="54"/>
  <c r="M69" i="54" s="1"/>
  <c r="K71" i="54"/>
  <c r="L71" i="54" s="1"/>
  <c r="K36" i="54"/>
  <c r="L36" i="54" s="1"/>
  <c r="K58" i="54"/>
  <c r="L58" i="54" s="1"/>
  <c r="K18" i="54"/>
  <c r="L18" i="54" s="1"/>
  <c r="K140" i="54"/>
  <c r="L140" i="54" s="1"/>
  <c r="K114" i="54"/>
  <c r="L114" i="54" s="1"/>
  <c r="K39" i="54"/>
  <c r="L39" i="54" s="1"/>
  <c r="K159" i="54"/>
  <c r="L159" i="54" s="1"/>
  <c r="K132" i="54"/>
  <c r="M132" i="54" s="1"/>
  <c r="K115" i="54"/>
  <c r="L115" i="54" s="1"/>
  <c r="K78" i="54"/>
  <c r="M78" i="54" s="1"/>
  <c r="K99" i="54"/>
  <c r="M99" i="54" s="1"/>
  <c r="K42" i="54"/>
  <c r="L42" i="54" s="1"/>
  <c r="K79" i="54"/>
  <c r="L79" i="54" s="1"/>
  <c r="K88" i="54"/>
  <c r="M88" i="54" s="1"/>
  <c r="K70" i="54"/>
  <c r="M70" i="54" s="1"/>
  <c r="K74" i="54"/>
  <c r="L74" i="54" s="1"/>
  <c r="K127" i="54"/>
  <c r="L127" i="54" s="1"/>
  <c r="K100" i="54"/>
  <c r="L100" i="54" s="1"/>
  <c r="K16" i="54"/>
  <c r="L16" i="54" s="1"/>
  <c r="K81" i="54"/>
  <c r="M81" i="54" s="1"/>
  <c r="K32" i="54"/>
  <c r="L32" i="54" s="1"/>
  <c r="K35" i="54"/>
  <c r="L35" i="54" s="1"/>
  <c r="K19" i="54"/>
  <c r="L19" i="54" s="1"/>
  <c r="K25" i="54"/>
  <c r="M25" i="54" s="1"/>
  <c r="K117" i="54"/>
  <c r="L117" i="54" s="1"/>
  <c r="K27" i="54"/>
  <c r="M27" i="54" s="1"/>
  <c r="K20" i="54"/>
  <c r="L20" i="54" s="1"/>
  <c r="K133" i="54"/>
  <c r="L133" i="54" s="1"/>
  <c r="K98" i="54"/>
  <c r="L98" i="54" s="1"/>
  <c r="K45" i="54"/>
  <c r="M45" i="54" s="1"/>
  <c r="K104" i="54"/>
  <c r="M104" i="54" s="1"/>
  <c r="K65" i="54"/>
  <c r="L65" i="54" s="1"/>
  <c r="K91" i="54"/>
  <c r="L91" i="54" s="1"/>
  <c r="K30" i="54"/>
  <c r="M30" i="54" s="1"/>
  <c r="K55" i="54"/>
  <c r="M55" i="54" s="1"/>
  <c r="K131" i="54"/>
  <c r="M131" i="54" s="1"/>
  <c r="K141" i="54"/>
  <c r="L141" i="54" s="1"/>
  <c r="K154" i="54"/>
  <c r="M154" i="54" s="1"/>
  <c r="K62" i="54"/>
  <c r="M62" i="54" s="1"/>
  <c r="K95" i="54"/>
  <c r="L95" i="54" s="1"/>
  <c r="K124" i="54"/>
  <c r="L124" i="54" s="1"/>
  <c r="K125" i="54"/>
  <c r="L125" i="54" s="1"/>
  <c r="K77" i="54"/>
  <c r="M77" i="54" s="1"/>
  <c r="K14" i="54"/>
  <c r="L14" i="54" s="1"/>
  <c r="K152" i="54"/>
  <c r="L152" i="54" s="1"/>
  <c r="K24" i="54"/>
  <c r="L24" i="54" s="1"/>
  <c r="K21" i="54"/>
  <c r="L21" i="54" s="1"/>
  <c r="K80" i="54"/>
  <c r="M80" i="54" s="1"/>
  <c r="K157" i="54"/>
  <c r="M157" i="54" s="1"/>
  <c r="K119" i="54"/>
  <c r="L119" i="54" s="1"/>
  <c r="K122" i="54"/>
  <c r="L122" i="54" s="1"/>
  <c r="K143" i="54"/>
  <c r="M143" i="54" s="1"/>
  <c r="K158" i="54"/>
  <c r="L158" i="54" s="1"/>
  <c r="K97" i="54"/>
  <c r="M97" i="54" s="1"/>
  <c r="K109" i="54"/>
  <c r="L109" i="54" s="1"/>
  <c r="K31" i="54"/>
  <c r="M31" i="54" s="1"/>
  <c r="K129" i="54"/>
  <c r="L129" i="54" s="1"/>
  <c r="K29" i="54"/>
  <c r="M29" i="54" s="1"/>
  <c r="K121" i="54"/>
  <c r="L121" i="54" s="1"/>
  <c r="K49" i="54"/>
  <c r="M49" i="54" s="1"/>
  <c r="K47" i="54"/>
  <c r="L47" i="54" s="1"/>
  <c r="K63" i="54"/>
  <c r="L63" i="54" s="1"/>
  <c r="K56" i="54"/>
  <c r="L56" i="54" s="1"/>
  <c r="K54" i="54"/>
  <c r="L54" i="54" s="1"/>
  <c r="K50" i="54"/>
  <c r="M50" i="54" s="1"/>
  <c r="K142" i="54"/>
  <c r="M142" i="54" s="1"/>
  <c r="K126" i="54"/>
  <c r="L126" i="54" s="1"/>
  <c r="K23" i="54"/>
  <c r="L23" i="54" s="1"/>
  <c r="K28" i="54"/>
  <c r="M28" i="54" s="1"/>
  <c r="K33" i="54"/>
  <c r="L33" i="54" s="1"/>
  <c r="K83" i="54"/>
  <c r="L83" i="54" s="1"/>
  <c r="K52" i="54"/>
  <c r="L52" i="54" s="1"/>
  <c r="K12" i="54"/>
  <c r="M12" i="54" s="1"/>
  <c r="K87" i="54"/>
  <c r="M87" i="54" s="1"/>
  <c r="K68" i="54"/>
  <c r="M68" i="54" s="1"/>
  <c r="K130" i="54"/>
  <c r="M130" i="54" s="1"/>
  <c r="K38" i="54"/>
  <c r="L38" i="54" s="1"/>
  <c r="K153" i="54"/>
  <c r="M153" i="54" s="1"/>
  <c r="K156" i="54"/>
  <c r="L156" i="54" s="1"/>
  <c r="K86" i="54"/>
  <c r="M86" i="54" s="1"/>
  <c r="K59" i="54"/>
  <c r="M59" i="54" s="1"/>
  <c r="K37" i="54"/>
  <c r="L37" i="54" s="1"/>
  <c r="K40" i="54"/>
  <c r="M40" i="54" s="1"/>
  <c r="K15" i="54"/>
  <c r="L15" i="54" s="1"/>
  <c r="K111" i="54"/>
  <c r="L111" i="54" s="1"/>
  <c r="K73" i="54"/>
  <c r="M73" i="54" s="1"/>
  <c r="K41" i="54"/>
  <c r="L41" i="54" s="1"/>
  <c r="K48" i="54"/>
  <c r="M48" i="54" s="1"/>
  <c r="K76" i="54"/>
  <c r="M76" i="54" s="1"/>
  <c r="K17" i="54"/>
  <c r="L17" i="54" s="1"/>
  <c r="K92" i="54"/>
  <c r="L92" i="54" s="1"/>
  <c r="K151" i="54"/>
  <c r="L151" i="54" s="1"/>
  <c r="K138" i="54"/>
  <c r="M138" i="54" s="1"/>
  <c r="K118" i="54"/>
  <c r="L118" i="54" s="1"/>
  <c r="K61" i="54"/>
  <c r="L61" i="54" s="1"/>
  <c r="K160" i="54"/>
  <c r="L160" i="54" s="1"/>
  <c r="K93" i="54"/>
  <c r="M93" i="54" s="1"/>
  <c r="K113" i="54"/>
  <c r="L113" i="54" s="1"/>
  <c r="K102" i="54"/>
  <c r="L102" i="54" s="1"/>
  <c r="K137" i="54"/>
  <c r="M137" i="54" s="1"/>
  <c r="K135" i="54"/>
  <c r="L135" i="54" s="1"/>
  <c r="K148" i="54"/>
  <c r="M148" i="54" s="1"/>
  <c r="K105" i="54"/>
  <c r="L105" i="54" s="1"/>
  <c r="K94" i="54"/>
  <c r="M94" i="54" s="1"/>
  <c r="K67" i="54"/>
  <c r="L67" i="54" s="1"/>
  <c r="K128" i="54"/>
  <c r="L128" i="54" s="1"/>
  <c r="K13" i="54"/>
  <c r="M13" i="54" s="1"/>
  <c r="K110" i="54"/>
  <c r="L110" i="54" s="1"/>
  <c r="K120" i="54"/>
  <c r="M120" i="54" s="1"/>
  <c r="K84" i="54"/>
  <c r="L84" i="54" s="1"/>
  <c r="K146" i="54"/>
  <c r="M146" i="54" s="1"/>
  <c r="K82" i="54"/>
  <c r="L82" i="54" s="1"/>
  <c r="K96" i="54"/>
  <c r="M96" i="54" s="1"/>
  <c r="K149" i="54"/>
  <c r="M149" i="54" s="1"/>
  <c r="K57" i="54"/>
  <c r="L57" i="54" s="1"/>
  <c r="K155" i="54"/>
  <c r="M155" i="54" s="1"/>
  <c r="K44" i="54"/>
  <c r="M44" i="54" s="1"/>
  <c r="K150" i="54"/>
  <c r="M150" i="54" s="1"/>
  <c r="K22" i="54"/>
  <c r="L22" i="54" s="1"/>
  <c r="K107" i="54"/>
  <c r="L107" i="54" s="1"/>
  <c r="K66" i="54"/>
  <c r="M66" i="54" s="1"/>
  <c r="K34" i="54"/>
  <c r="M34" i="54" s="1"/>
  <c r="K139" i="54"/>
  <c r="L139" i="54" s="1"/>
  <c r="K134" i="54"/>
  <c r="L134" i="54" s="1"/>
  <c r="K89" i="54"/>
  <c r="M89" i="54" s="1"/>
  <c r="K112" i="54"/>
  <c r="L112" i="54" s="1"/>
  <c r="K145" i="54"/>
  <c r="L145" i="54" s="1"/>
  <c r="K147" i="54"/>
  <c r="L147" i="54" s="1"/>
  <c r="K144" i="54"/>
  <c r="L144" i="54" s="1"/>
  <c r="K26" i="54"/>
  <c r="L26" i="54" s="1"/>
  <c r="K116" i="54"/>
  <c r="L116" i="54" s="1"/>
  <c r="K43" i="54"/>
  <c r="L43" i="54" s="1"/>
  <c r="K46" i="54"/>
  <c r="L46" i="54" s="1"/>
  <c r="K64" i="54"/>
  <c r="L64" i="54" s="1"/>
  <c r="K60" i="54"/>
  <c r="M60" i="54" s="1"/>
  <c r="K106" i="54"/>
  <c r="L106" i="54" s="1"/>
  <c r="K101" i="54"/>
  <c r="M101" i="54" s="1"/>
  <c r="K51" i="54"/>
  <c r="L51" i="54" s="1"/>
  <c r="K53" i="54"/>
  <c r="L53" i="54" s="1"/>
  <c r="K136" i="54"/>
  <c r="M136" i="54" s="1"/>
  <c r="K85" i="54"/>
  <c r="M85" i="54" s="1"/>
  <c r="K108" i="54"/>
  <c r="M108" i="54" s="1"/>
  <c r="K123" i="54"/>
  <c r="M123" i="54" s="1"/>
  <c r="K103" i="54"/>
  <c r="M103" i="54" s="1"/>
  <c r="K75" i="54"/>
  <c r="M75" i="54" s="1"/>
  <c r="K72" i="54"/>
  <c r="K90" i="54"/>
  <c r="E15" i="69"/>
  <c r="E15" i="86"/>
  <c r="E15" i="61"/>
  <c r="E15" i="56"/>
  <c r="E15" i="70"/>
  <c r="E15" i="59"/>
  <c r="E15" i="58"/>
  <c r="E15" i="78"/>
  <c r="E15" i="66"/>
  <c r="E15" i="83"/>
  <c r="E15" i="74"/>
  <c r="E15" i="65"/>
  <c r="E15" i="62"/>
  <c r="E15" i="84"/>
  <c r="E15" i="82"/>
  <c r="E15" i="88"/>
  <c r="E15" i="72"/>
  <c r="E15" i="81"/>
  <c r="E15" i="71"/>
  <c r="E15" i="63"/>
  <c r="E15" i="60"/>
  <c r="E15" i="68"/>
  <c r="E15" i="73"/>
  <c r="E15" i="80"/>
  <c r="E15" i="67"/>
  <c r="E15" i="76"/>
  <c r="E15" i="75"/>
  <c r="E15" i="64"/>
  <c r="E16" i="75"/>
  <c r="E16" i="73"/>
  <c r="E16" i="71"/>
  <c r="E16" i="56"/>
  <c r="E16" i="70"/>
  <c r="E16" i="59"/>
  <c r="E16" i="78"/>
  <c r="E16" i="67"/>
  <c r="E16" i="66"/>
  <c r="E16" i="83"/>
  <c r="E16" i="74"/>
  <c r="E16" i="65"/>
  <c r="E16" i="62"/>
  <c r="E16" i="86"/>
  <c r="E16" i="61"/>
  <c r="E16" i="82"/>
  <c r="E16" i="88"/>
  <c r="E16" i="76"/>
  <c r="E16" i="72"/>
  <c r="E16" i="81"/>
  <c r="E16" i="63"/>
  <c r="E16" i="60"/>
  <c r="E16" i="64"/>
  <c r="E16" i="69"/>
  <c r="E16" i="68"/>
  <c r="E16" i="84"/>
  <c r="E16" i="80"/>
  <c r="E16" i="58"/>
  <c r="G41" i="38"/>
  <c r="H41" i="38" s="1"/>
  <c r="F41" i="38"/>
  <c r="M65" i="54" l="1"/>
  <c r="G16" i="86"/>
  <c r="H16" i="86" s="1"/>
  <c r="F16" i="86"/>
  <c r="G15" i="88"/>
  <c r="H15" i="88" s="1"/>
  <c r="F15" i="88"/>
  <c r="E15" i="87"/>
  <c r="E15" i="85"/>
  <c r="G15" i="83"/>
  <c r="H15" i="83" s="1"/>
  <c r="F15" i="83"/>
  <c r="E16" i="87"/>
  <c r="E16" i="85"/>
  <c r="G15" i="86"/>
  <c r="H15" i="86" s="1"/>
  <c r="F15" i="86"/>
  <c r="G16" i="88"/>
  <c r="H16" i="88" s="1"/>
  <c r="F16" i="88"/>
  <c r="G16" i="83"/>
  <c r="H16" i="83" s="1"/>
  <c r="F16" i="83"/>
  <c r="G15" i="84"/>
  <c r="H15" i="84" s="1"/>
  <c r="F15" i="84"/>
  <c r="G16" i="84"/>
  <c r="H16" i="84" s="1"/>
  <c r="F16" i="84"/>
  <c r="G15" i="82"/>
  <c r="H15" i="82" s="1"/>
  <c r="F15" i="82"/>
  <c r="G16" i="82"/>
  <c r="H16" i="82" s="1"/>
  <c r="F16" i="82"/>
  <c r="G15" i="78"/>
  <c r="H15" i="78" s="1"/>
  <c r="F15" i="78"/>
  <c r="E16" i="77"/>
  <c r="G16" i="76"/>
  <c r="H16" i="76" s="1"/>
  <c r="F16" i="76"/>
  <c r="G15" i="76"/>
  <c r="H15" i="76" s="1"/>
  <c r="F15" i="76"/>
  <c r="G16" i="80"/>
  <c r="H16" i="80" s="1"/>
  <c r="F16" i="80"/>
  <c r="G16" i="81"/>
  <c r="H16" i="81" s="1"/>
  <c r="F16" i="81"/>
  <c r="E15" i="77"/>
  <c r="G16" i="78"/>
  <c r="H16" i="78" s="1"/>
  <c r="F16" i="78"/>
  <c r="G15" i="81"/>
  <c r="H15" i="81" s="1"/>
  <c r="F15" i="81"/>
  <c r="G15" i="80"/>
  <c r="H15" i="80" s="1"/>
  <c r="F15" i="80"/>
  <c r="G15" i="72"/>
  <c r="H15" i="72" s="1"/>
  <c r="F15" i="72"/>
  <c r="G16" i="75"/>
  <c r="H16" i="75" s="1"/>
  <c r="F16" i="75"/>
  <c r="G15" i="75"/>
  <c r="H15" i="75" s="1"/>
  <c r="F15" i="75"/>
  <c r="G15" i="74"/>
  <c r="H15" i="74" s="1"/>
  <c r="F15" i="74"/>
  <c r="G16" i="72"/>
  <c r="H16" i="72" s="1"/>
  <c r="F16" i="72"/>
  <c r="G16" i="74"/>
  <c r="H16" i="74" s="1"/>
  <c r="F16" i="74"/>
  <c r="G16" i="73"/>
  <c r="H16" i="73" s="1"/>
  <c r="F16" i="73"/>
  <c r="G15" i="73"/>
  <c r="H15" i="73" s="1"/>
  <c r="F15" i="73"/>
  <c r="G15" i="69"/>
  <c r="H15" i="69" s="1"/>
  <c r="F15" i="69"/>
  <c r="G15" i="68"/>
  <c r="H15" i="68" s="1"/>
  <c r="F15" i="68"/>
  <c r="G15" i="71"/>
  <c r="H15" i="71" s="1"/>
  <c r="F15" i="71"/>
  <c r="G15" i="70"/>
  <c r="H15" i="70" s="1"/>
  <c r="F15" i="70"/>
  <c r="G16" i="68"/>
  <c r="H16" i="68" s="1"/>
  <c r="F16" i="68"/>
  <c r="G15" i="67"/>
  <c r="H15" i="67" s="1"/>
  <c r="F15" i="67"/>
  <c r="G16" i="69"/>
  <c r="H16" i="69" s="1"/>
  <c r="F16" i="69"/>
  <c r="G16" i="70"/>
  <c r="H16" i="70" s="1"/>
  <c r="F16" i="70"/>
  <c r="G16" i="71"/>
  <c r="H16" i="71" s="1"/>
  <c r="F16" i="71"/>
  <c r="G16" i="67"/>
  <c r="H16" i="67" s="1"/>
  <c r="F16" i="67"/>
  <c r="G16" i="66"/>
  <c r="H16" i="66" s="1"/>
  <c r="F16" i="66"/>
  <c r="G15" i="66"/>
  <c r="H15" i="66" s="1"/>
  <c r="F15" i="66"/>
  <c r="G16" i="64"/>
  <c r="H16" i="64" s="1"/>
  <c r="F16" i="64"/>
  <c r="F15" i="64"/>
  <c r="G15" i="64"/>
  <c r="H15" i="64" s="1"/>
  <c r="G15" i="65"/>
  <c r="H15" i="65" s="1"/>
  <c r="F15" i="65"/>
  <c r="G16" i="61"/>
  <c r="H16" i="61" s="1"/>
  <c r="F16" i="61"/>
  <c r="G15" i="62"/>
  <c r="H15" i="62" s="1"/>
  <c r="F15" i="62"/>
  <c r="G16" i="63"/>
  <c r="H16" i="63" s="1"/>
  <c r="F16" i="63"/>
  <c r="G16" i="65"/>
  <c r="H16" i="65" s="1"/>
  <c r="F16" i="65"/>
  <c r="G15" i="61"/>
  <c r="H15" i="61" s="1"/>
  <c r="F15" i="61"/>
  <c r="G16" i="62"/>
  <c r="H16" i="62" s="1"/>
  <c r="F16" i="62"/>
  <c r="G15" i="63"/>
  <c r="H15" i="63" s="1"/>
  <c r="F15" i="63"/>
  <c r="G16" i="60"/>
  <c r="H16" i="60" s="1"/>
  <c r="F16" i="60"/>
  <c r="G15" i="56"/>
  <c r="H15" i="56" s="1"/>
  <c r="F15" i="56"/>
  <c r="G16" i="59"/>
  <c r="H16" i="59" s="1"/>
  <c r="F16" i="59"/>
  <c r="G16" i="58"/>
  <c r="H16" i="58" s="1"/>
  <c r="F16" i="58"/>
  <c r="G15" i="60"/>
  <c r="H15" i="60" s="1"/>
  <c r="F15" i="60"/>
  <c r="G15" i="58"/>
  <c r="H15" i="58" s="1"/>
  <c r="F15" i="58"/>
  <c r="G16" i="56"/>
  <c r="H16" i="56" s="1"/>
  <c r="F16" i="56"/>
  <c r="G15" i="59"/>
  <c r="H15" i="59" s="1"/>
  <c r="F15" i="59"/>
  <c r="M11" i="54"/>
  <c r="L70" i="54"/>
  <c r="L69" i="54"/>
  <c r="M19" i="54"/>
  <c r="L130" i="54"/>
  <c r="M14" i="54"/>
  <c r="M133" i="54"/>
  <c r="M110" i="54"/>
  <c r="M127" i="54"/>
  <c r="M83" i="54"/>
  <c r="M36" i="54"/>
  <c r="L45" i="54"/>
  <c r="M20" i="54"/>
  <c r="L97" i="54"/>
  <c r="L143" i="54"/>
  <c r="L81" i="54"/>
  <c r="M140" i="54"/>
  <c r="M15" i="54"/>
  <c r="L131" i="54"/>
  <c r="L49" i="54"/>
  <c r="M42" i="54"/>
  <c r="M23" i="54"/>
  <c r="M74" i="54"/>
  <c r="L94" i="54"/>
  <c r="M95" i="54"/>
  <c r="M52" i="54"/>
  <c r="M71" i="54"/>
  <c r="L48" i="54"/>
  <c r="L80" i="54"/>
  <c r="L86" i="54"/>
  <c r="M160" i="54"/>
  <c r="M54" i="54"/>
  <c r="L132" i="54"/>
  <c r="L25" i="54"/>
  <c r="L31" i="54"/>
  <c r="M115" i="54"/>
  <c r="M151" i="54"/>
  <c r="M113" i="54"/>
  <c r="L88" i="54"/>
  <c r="L27" i="54"/>
  <c r="M107" i="54"/>
  <c r="M24" i="54"/>
  <c r="M21" i="54"/>
  <c r="L155" i="54"/>
  <c r="C23" i="48"/>
  <c r="Q3" i="48" s="1"/>
  <c r="C24" i="48"/>
  <c r="L85" i="54"/>
  <c r="M10" i="54"/>
  <c r="L30" i="54"/>
  <c r="M53" i="54"/>
  <c r="M26" i="54"/>
  <c r="L34" i="54"/>
  <c r="L150" i="54"/>
  <c r="M18" i="54"/>
  <c r="M122" i="54"/>
  <c r="M46" i="54"/>
  <c r="L68" i="54"/>
  <c r="L99" i="54"/>
  <c r="M84" i="54"/>
  <c r="L146" i="54"/>
  <c r="L77" i="54"/>
  <c r="M33" i="54"/>
  <c r="L104" i="54"/>
  <c r="L28" i="54"/>
  <c r="L154" i="54"/>
  <c r="M32" i="54"/>
  <c r="M141" i="54"/>
  <c r="M114" i="54"/>
  <c r="M152" i="54"/>
  <c r="M128" i="54"/>
  <c r="M82" i="54"/>
  <c r="M102" i="54"/>
  <c r="M16" i="54"/>
  <c r="L73" i="54"/>
  <c r="M119" i="54"/>
  <c r="M100" i="54"/>
  <c r="M79" i="54"/>
  <c r="M39" i="54"/>
  <c r="M35" i="54"/>
  <c r="L40" i="54"/>
  <c r="L78" i="54"/>
  <c r="M98" i="54"/>
  <c r="M126" i="54"/>
  <c r="M63" i="54"/>
  <c r="L142" i="54"/>
  <c r="L55" i="54"/>
  <c r="M43" i="54"/>
  <c r="L13" i="54"/>
  <c r="M17" i="54"/>
  <c r="M144" i="54"/>
  <c r="M156" i="54"/>
  <c r="M159" i="54"/>
  <c r="M147" i="54"/>
  <c r="M56" i="54"/>
  <c r="L87" i="54"/>
  <c r="L62" i="54"/>
  <c r="M134" i="54"/>
  <c r="M61" i="54"/>
  <c r="M58" i="54"/>
  <c r="M41" i="54"/>
  <c r="M37" i="54"/>
  <c r="M125" i="54"/>
  <c r="L29" i="54"/>
  <c r="M105" i="54"/>
  <c r="L44" i="54"/>
  <c r="L93" i="54"/>
  <c r="M67" i="54"/>
  <c r="M92" i="54"/>
  <c r="L157" i="54"/>
  <c r="M116" i="54"/>
  <c r="M91" i="54"/>
  <c r="L59" i="54"/>
  <c r="L12" i="54"/>
  <c r="M124" i="54"/>
  <c r="L76" i="54"/>
  <c r="M117" i="54"/>
  <c r="L66" i="54"/>
  <c r="M109" i="54"/>
  <c r="M139" i="54"/>
  <c r="M121" i="54"/>
  <c r="M129" i="54"/>
  <c r="L50" i="54"/>
  <c r="L96" i="54"/>
  <c r="M158" i="54"/>
  <c r="M38" i="54"/>
  <c r="L137" i="54"/>
  <c r="M22" i="54"/>
  <c r="M47" i="54"/>
  <c r="M145" i="54"/>
  <c r="L148" i="54"/>
  <c r="M118" i="54"/>
  <c r="L101" i="54"/>
  <c r="L75" i="54"/>
  <c r="L89" i="54"/>
  <c r="L153" i="54"/>
  <c r="L136" i="54"/>
  <c r="L120" i="54"/>
  <c r="M57" i="54"/>
  <c r="M106" i="54"/>
  <c r="M135" i="54"/>
  <c r="L138" i="54"/>
  <c r="L103" i="54"/>
  <c r="M111" i="54"/>
  <c r="L60" i="54"/>
  <c r="L149" i="54"/>
  <c r="M112" i="54"/>
  <c r="L108" i="54"/>
  <c r="M51" i="54"/>
  <c r="M64" i="54"/>
  <c r="L123" i="54"/>
  <c r="L72" i="54"/>
  <c r="M72" i="54"/>
  <c r="G20" i="45"/>
  <c r="H20" i="45" s="1"/>
  <c r="G19" i="45"/>
  <c r="H19" i="45" s="1"/>
  <c r="L90" i="54"/>
  <c r="M90" i="54"/>
  <c r="E15" i="44"/>
  <c r="F15" i="44" s="1"/>
  <c r="E16" i="44"/>
  <c r="F16" i="44" s="1"/>
  <c r="E13" i="63"/>
  <c r="E13" i="88"/>
  <c r="E13" i="69"/>
  <c r="E13" i="75"/>
  <c r="E13" i="71"/>
  <c r="E13" i="80"/>
  <c r="E13" i="60"/>
  <c r="E13" i="72"/>
  <c r="E13" i="58"/>
  <c r="E13" i="73"/>
  <c r="E13" i="76"/>
  <c r="E13" i="78"/>
  <c r="E13" i="64"/>
  <c r="E13" i="67"/>
  <c r="E13" i="56"/>
  <c r="E13" i="62"/>
  <c r="E13" i="86"/>
  <c r="E13" i="61"/>
  <c r="E13" i="66"/>
  <c r="E13" i="81"/>
  <c r="E13" i="74"/>
  <c r="E13" i="70"/>
  <c r="E13" i="68"/>
  <c r="E13" i="82"/>
  <c r="E13" i="65"/>
  <c r="E13" i="83"/>
  <c r="E13" i="59"/>
  <c r="E13" i="84"/>
  <c r="E14" i="56"/>
  <c r="E14" i="70"/>
  <c r="E14" i="58"/>
  <c r="E14" i="62"/>
  <c r="E14" i="66"/>
  <c r="E14" i="83"/>
  <c r="E14" i="81"/>
  <c r="E14" i="73"/>
  <c r="E14" i="74"/>
  <c r="E14" i="65"/>
  <c r="E14" i="68"/>
  <c r="E14" i="84"/>
  <c r="E14" i="82"/>
  <c r="E14" i="88"/>
  <c r="E14" i="72"/>
  <c r="E14" i="59"/>
  <c r="E14" i="67"/>
  <c r="E14" i="71"/>
  <c r="E14" i="61"/>
  <c r="E14" i="63"/>
  <c r="E14" i="60"/>
  <c r="E14" i="75"/>
  <c r="E14" i="80"/>
  <c r="E14" i="76"/>
  <c r="E14" i="64"/>
  <c r="E14" i="78"/>
  <c r="E14" i="69"/>
  <c r="E14" i="86"/>
  <c r="E12" i="76"/>
  <c r="E12" i="88"/>
  <c r="E12" i="62"/>
  <c r="E12" i="71"/>
  <c r="E12" i="60"/>
  <c r="E12" i="81"/>
  <c r="E12" i="56"/>
  <c r="E12" i="59"/>
  <c r="E12" i="68"/>
  <c r="E12" i="84"/>
  <c r="E12" i="66"/>
  <c r="E12" i="64"/>
  <c r="E12" i="70"/>
  <c r="E12" i="69"/>
  <c r="E12" i="74"/>
  <c r="E12" i="83"/>
  <c r="E12" i="58"/>
  <c r="E12" i="75"/>
  <c r="E12" i="73"/>
  <c r="E12" i="86"/>
  <c r="E12" i="61"/>
  <c r="E12" i="82"/>
  <c r="E12" i="63"/>
  <c r="E12" i="72"/>
  <c r="E12" i="80"/>
  <c r="E12" i="65"/>
  <c r="E12" i="78"/>
  <c r="E12" i="67"/>
  <c r="E29" i="38"/>
  <c r="E37" i="38"/>
  <c r="E15" i="38"/>
  <c r="G15" i="38" s="1"/>
  <c r="H15" i="38" s="1"/>
  <c r="E14" i="38"/>
  <c r="G14" i="38" s="1"/>
  <c r="H14" i="38" s="1"/>
  <c r="E23" i="38"/>
  <c r="G12" i="83" l="1"/>
  <c r="F12" i="83"/>
  <c r="G13" i="88"/>
  <c r="H13" i="88" s="1"/>
  <c r="F13" i="88"/>
  <c r="F12" i="86"/>
  <c r="G12" i="86"/>
  <c r="E13" i="87"/>
  <c r="E13" i="85"/>
  <c r="G16" i="85"/>
  <c r="H16" i="85" s="1"/>
  <c r="F16" i="85"/>
  <c r="F14" i="86"/>
  <c r="G14" i="86"/>
  <c r="H14" i="86" s="1"/>
  <c r="G16" i="87"/>
  <c r="H16" i="87" s="1"/>
  <c r="F16" i="87"/>
  <c r="G14" i="88"/>
  <c r="H14" i="88" s="1"/>
  <c r="F14" i="88"/>
  <c r="E12" i="87"/>
  <c r="E12" i="85"/>
  <c r="E14" i="85"/>
  <c r="E14" i="87"/>
  <c r="G15" i="85"/>
  <c r="H15" i="85" s="1"/>
  <c r="F15" i="85"/>
  <c r="G15" i="87"/>
  <c r="H15" i="87" s="1"/>
  <c r="F15" i="87"/>
  <c r="G13" i="84"/>
  <c r="H13" i="84" s="1"/>
  <c r="F13" i="84"/>
  <c r="G12" i="84"/>
  <c r="F12" i="84"/>
  <c r="G14" i="83"/>
  <c r="H14" i="83" s="1"/>
  <c r="F14" i="83"/>
  <c r="G13" i="86"/>
  <c r="H13" i="86" s="1"/>
  <c r="F13" i="86"/>
  <c r="G14" i="84"/>
  <c r="H14" i="84" s="1"/>
  <c r="F14" i="84"/>
  <c r="G13" i="83"/>
  <c r="H13" i="83" s="1"/>
  <c r="F13" i="83"/>
  <c r="F12" i="88"/>
  <c r="G12" i="88"/>
  <c r="F14" i="82"/>
  <c r="G14" i="82"/>
  <c r="H14" i="82" s="1"/>
  <c r="F12" i="82"/>
  <c r="G12" i="82"/>
  <c r="G13" i="82"/>
  <c r="H13" i="82" s="1"/>
  <c r="F13" i="82"/>
  <c r="G12" i="80"/>
  <c r="F12" i="80"/>
  <c r="G14" i="78"/>
  <c r="H14" i="78" s="1"/>
  <c r="F14" i="78"/>
  <c r="G13" i="81"/>
  <c r="H13" i="81" s="1"/>
  <c r="F13" i="81"/>
  <c r="G13" i="80"/>
  <c r="H13" i="80" s="1"/>
  <c r="F13" i="80"/>
  <c r="G12" i="81"/>
  <c r="F12" i="81"/>
  <c r="G12" i="78"/>
  <c r="F12" i="78"/>
  <c r="G14" i="80"/>
  <c r="H14" i="80" s="1"/>
  <c r="F14" i="80"/>
  <c r="G16" i="77"/>
  <c r="H16" i="77" s="1"/>
  <c r="F16" i="77"/>
  <c r="G13" i="76"/>
  <c r="H13" i="76" s="1"/>
  <c r="F13" i="76"/>
  <c r="G15" i="77"/>
  <c r="H15" i="77" s="1"/>
  <c r="F15" i="77"/>
  <c r="E12" i="77"/>
  <c r="E14" i="77"/>
  <c r="G13" i="78"/>
  <c r="H13" i="78" s="1"/>
  <c r="F13" i="78"/>
  <c r="G14" i="76"/>
  <c r="H14" i="76" s="1"/>
  <c r="F14" i="76"/>
  <c r="E13" i="77"/>
  <c r="F12" i="76"/>
  <c r="G12" i="76"/>
  <c r="G14" i="81"/>
  <c r="H14" i="81" s="1"/>
  <c r="F14" i="81"/>
  <c r="G14" i="75"/>
  <c r="H14" i="75" s="1"/>
  <c r="F14" i="75"/>
  <c r="G14" i="74"/>
  <c r="H14" i="74" s="1"/>
  <c r="F14" i="74"/>
  <c r="G13" i="73"/>
  <c r="H13" i="73" s="1"/>
  <c r="F13" i="73"/>
  <c r="G12" i="74"/>
  <c r="F12" i="74"/>
  <c r="G12" i="75"/>
  <c r="F12" i="75"/>
  <c r="G14" i="73"/>
  <c r="H14" i="73" s="1"/>
  <c r="F14" i="73"/>
  <c r="G13" i="74"/>
  <c r="H13" i="74" s="1"/>
  <c r="F13" i="74"/>
  <c r="G12" i="72"/>
  <c r="F12" i="72"/>
  <c r="G13" i="72"/>
  <c r="H13" i="72" s="1"/>
  <c r="F13" i="72"/>
  <c r="G12" i="73"/>
  <c r="F12" i="73"/>
  <c r="G14" i="72"/>
  <c r="H14" i="72" s="1"/>
  <c r="F14" i="72"/>
  <c r="G13" i="75"/>
  <c r="H13" i="75" s="1"/>
  <c r="F13" i="75"/>
  <c r="G13" i="68"/>
  <c r="H13" i="68" s="1"/>
  <c r="F13" i="68"/>
  <c r="G13" i="67"/>
  <c r="H13" i="67" s="1"/>
  <c r="F13" i="67"/>
  <c r="G13" i="69"/>
  <c r="H13" i="69" s="1"/>
  <c r="F13" i="69"/>
  <c r="F12" i="69"/>
  <c r="G12" i="69"/>
  <c r="F14" i="69"/>
  <c r="G14" i="69"/>
  <c r="H14" i="69" s="1"/>
  <c r="G14" i="71"/>
  <c r="H14" i="71" s="1"/>
  <c r="F14" i="71"/>
  <c r="F14" i="68"/>
  <c r="G14" i="68"/>
  <c r="H14" i="68" s="1"/>
  <c r="G14" i="70"/>
  <c r="H14" i="70" s="1"/>
  <c r="F14" i="70"/>
  <c r="G12" i="67"/>
  <c r="F12" i="67"/>
  <c r="G14" i="67"/>
  <c r="H14" i="67" s="1"/>
  <c r="F14" i="67"/>
  <c r="G13" i="70"/>
  <c r="H13" i="70" s="1"/>
  <c r="F13" i="70"/>
  <c r="G12" i="71"/>
  <c r="F12" i="71"/>
  <c r="G13" i="71"/>
  <c r="H13" i="71" s="1"/>
  <c r="F13" i="71"/>
  <c r="G12" i="70"/>
  <c r="F12" i="70"/>
  <c r="G12" i="68"/>
  <c r="F12" i="68"/>
  <c r="G13" i="66"/>
  <c r="H13" i="66" s="1"/>
  <c r="F13" i="66"/>
  <c r="F14" i="66"/>
  <c r="G14" i="66"/>
  <c r="H14" i="66" s="1"/>
  <c r="G12" i="66"/>
  <c r="F12" i="66"/>
  <c r="G14" i="64"/>
  <c r="H14" i="64" s="1"/>
  <c r="F14" i="64"/>
  <c r="G12" i="61"/>
  <c r="F12" i="61"/>
  <c r="G12" i="64"/>
  <c r="F12" i="64"/>
  <c r="G13" i="62"/>
  <c r="H13" i="62" s="1"/>
  <c r="F13" i="62"/>
  <c r="G12" i="62"/>
  <c r="F12" i="62"/>
  <c r="G14" i="63"/>
  <c r="H14" i="63" s="1"/>
  <c r="F14" i="63"/>
  <c r="F13" i="65"/>
  <c r="G13" i="65"/>
  <c r="H13" i="65" s="1"/>
  <c r="F13" i="63"/>
  <c r="G13" i="63"/>
  <c r="H13" i="63" s="1"/>
  <c r="G12" i="63"/>
  <c r="F12" i="63"/>
  <c r="G13" i="64"/>
  <c r="H13" i="64" s="1"/>
  <c r="F13" i="64"/>
  <c r="G12" i="65"/>
  <c r="F12" i="65"/>
  <c r="F14" i="61"/>
  <c r="G14" i="61"/>
  <c r="H14" i="61" s="1"/>
  <c r="G14" i="65"/>
  <c r="H14" i="65" s="1"/>
  <c r="F14" i="65"/>
  <c r="G13" i="61"/>
  <c r="H13" i="61" s="1"/>
  <c r="F13" i="61"/>
  <c r="G14" i="62"/>
  <c r="H14" i="62" s="1"/>
  <c r="F14" i="62"/>
  <c r="G13" i="60"/>
  <c r="H13" i="60" s="1"/>
  <c r="F13" i="60"/>
  <c r="G12" i="59"/>
  <c r="F12" i="59"/>
  <c r="F12" i="60"/>
  <c r="G12" i="60"/>
  <c r="H12" i="60" s="1"/>
  <c r="F12" i="58"/>
  <c r="G12" i="58"/>
  <c r="F14" i="56"/>
  <c r="G14" i="56"/>
  <c r="H14" i="56" s="1"/>
  <c r="F13" i="59"/>
  <c r="G13" i="59"/>
  <c r="H13" i="59" s="1"/>
  <c r="F13" i="56"/>
  <c r="G13" i="56"/>
  <c r="H13" i="56" s="1"/>
  <c r="G13" i="58"/>
  <c r="H13" i="58" s="1"/>
  <c r="F13" i="58"/>
  <c r="G12" i="56"/>
  <c r="F12" i="56"/>
  <c r="F14" i="60"/>
  <c r="G14" i="60"/>
  <c r="G14" i="59"/>
  <c r="H14" i="59" s="1"/>
  <c r="F14" i="59"/>
  <c r="F14" i="58"/>
  <c r="G14" i="58"/>
  <c r="H14" i="58" s="1"/>
  <c r="D42" i="44"/>
  <c r="G16" i="45"/>
  <c r="H16" i="45" s="1"/>
  <c r="G15" i="44"/>
  <c r="H15" i="44" s="1"/>
  <c r="G18" i="45"/>
  <c r="H18" i="45" s="1"/>
  <c r="I19" i="45"/>
  <c r="J19" i="45" s="1"/>
  <c r="I20" i="45"/>
  <c r="J20" i="45" s="1"/>
  <c r="G17" i="45"/>
  <c r="I17" i="45" s="1"/>
  <c r="J17" i="45" s="1"/>
  <c r="E13" i="44"/>
  <c r="G13" i="44" s="1"/>
  <c r="H13" i="44" s="1"/>
  <c r="E14" i="44"/>
  <c r="G14" i="44" s="1"/>
  <c r="H14" i="44" s="1"/>
  <c r="E12" i="44"/>
  <c r="F12" i="44" s="1"/>
  <c r="G16" i="44"/>
  <c r="H16" i="44" s="1"/>
  <c r="E27" i="75"/>
  <c r="E27" i="88"/>
  <c r="E27" i="84"/>
  <c r="E27" i="67"/>
  <c r="E27" i="64"/>
  <c r="E27" i="69"/>
  <c r="E27" i="73"/>
  <c r="E27" i="66"/>
  <c r="E27" i="86"/>
  <c r="E27" i="83"/>
  <c r="E27" i="62"/>
  <c r="E27" i="61"/>
  <c r="E27" i="58"/>
  <c r="E27" i="59"/>
  <c r="E27" i="80"/>
  <c r="E27" i="65"/>
  <c r="E27" i="72"/>
  <c r="E27" i="56"/>
  <c r="E27" i="71"/>
  <c r="E27" i="60"/>
  <c r="E27" i="82"/>
  <c r="E27" i="78"/>
  <c r="E27" i="81"/>
  <c r="E27" i="68"/>
  <c r="E27" i="63"/>
  <c r="E27" i="70"/>
  <c r="E27" i="76"/>
  <c r="E27" i="74"/>
  <c r="E28" i="38"/>
  <c r="F28" i="38" s="1"/>
  <c r="G37" i="38"/>
  <c r="H37" i="38" s="1"/>
  <c r="F37" i="38"/>
  <c r="F14" i="38"/>
  <c r="F15" i="38"/>
  <c r="E12" i="38"/>
  <c r="G12" i="38" s="1"/>
  <c r="H12" i="38" s="1"/>
  <c r="E13" i="38"/>
  <c r="F13" i="38" s="1"/>
  <c r="E11" i="38"/>
  <c r="G11" i="38" s="1"/>
  <c r="E22" i="38"/>
  <c r="G29" i="38"/>
  <c r="H29" i="38" s="1"/>
  <c r="F29" i="38"/>
  <c r="E20" i="38"/>
  <c r="G23" i="38"/>
  <c r="H23" i="38" s="1"/>
  <c r="F23" i="38"/>
  <c r="E27" i="85" l="1"/>
  <c r="E27" i="87"/>
  <c r="G28" i="86"/>
  <c r="M27" i="86"/>
  <c r="L25" i="86" s="1"/>
  <c r="G27" i="86"/>
  <c r="G14" i="87"/>
  <c r="H14" i="87" s="1"/>
  <c r="F14" i="87"/>
  <c r="G13" i="85"/>
  <c r="H13" i="85" s="1"/>
  <c r="F13" i="85"/>
  <c r="G14" i="85"/>
  <c r="H14" i="85" s="1"/>
  <c r="F14" i="85"/>
  <c r="G13" i="87"/>
  <c r="H13" i="87" s="1"/>
  <c r="F13" i="87"/>
  <c r="G12" i="85"/>
  <c r="F12" i="85"/>
  <c r="H12" i="86"/>
  <c r="E19" i="86"/>
  <c r="G28" i="83"/>
  <c r="G27" i="83"/>
  <c r="M27" i="83"/>
  <c r="L25" i="83" s="1"/>
  <c r="G12" i="87"/>
  <c r="F12" i="87"/>
  <c r="H12" i="88"/>
  <c r="E19" i="88"/>
  <c r="E19" i="84"/>
  <c r="H12" i="84"/>
  <c r="G28" i="84"/>
  <c r="G27" i="84"/>
  <c r="M27" i="84"/>
  <c r="L25" i="84" s="1"/>
  <c r="G28" i="88"/>
  <c r="G27" i="88"/>
  <c r="M27" i="88"/>
  <c r="L25" i="88" s="1"/>
  <c r="H12" i="83"/>
  <c r="E19" i="83"/>
  <c r="G28" i="82"/>
  <c r="M27" i="82"/>
  <c r="L25" i="82" s="1"/>
  <c r="G27" i="82"/>
  <c r="H12" i="82"/>
  <c r="E19" i="82"/>
  <c r="H12" i="78"/>
  <c r="E19" i="78"/>
  <c r="G28" i="80"/>
  <c r="G27" i="80"/>
  <c r="M27" i="80"/>
  <c r="L25" i="80" s="1"/>
  <c r="H12" i="81"/>
  <c r="J12" i="81" s="1"/>
  <c r="E19" i="81"/>
  <c r="G13" i="77"/>
  <c r="H13" i="77" s="1"/>
  <c r="F13" i="77"/>
  <c r="G28" i="81"/>
  <c r="M27" i="81"/>
  <c r="L25" i="81" s="1"/>
  <c r="G27" i="81"/>
  <c r="G28" i="76"/>
  <c r="M27" i="76"/>
  <c r="L25" i="76" s="1"/>
  <c r="G27" i="76"/>
  <c r="G28" i="78"/>
  <c r="G27" i="78"/>
  <c r="M27" i="78"/>
  <c r="L25" i="78" s="1"/>
  <c r="G14" i="77"/>
  <c r="H14" i="77" s="1"/>
  <c r="F14" i="77"/>
  <c r="H12" i="76"/>
  <c r="E19" i="76"/>
  <c r="G12" i="77"/>
  <c r="F12" i="77"/>
  <c r="H12" i="80"/>
  <c r="J12" i="80" s="1"/>
  <c r="E19" i="80"/>
  <c r="H12" i="73"/>
  <c r="E19" i="73"/>
  <c r="H12" i="75"/>
  <c r="E19" i="75"/>
  <c r="H12" i="74"/>
  <c r="E19" i="74"/>
  <c r="G28" i="72"/>
  <c r="G27" i="72"/>
  <c r="M27" i="72"/>
  <c r="L25" i="72" s="1"/>
  <c r="G28" i="75"/>
  <c r="G27" i="75"/>
  <c r="M27" i="75"/>
  <c r="L25" i="75" s="1"/>
  <c r="G28" i="74"/>
  <c r="M27" i="74"/>
  <c r="L25" i="74" s="1"/>
  <c r="G27" i="74"/>
  <c r="E19" i="72"/>
  <c r="H12" i="72"/>
  <c r="G28" i="73"/>
  <c r="M27" i="73"/>
  <c r="L25" i="73" s="1"/>
  <c r="G27" i="73"/>
  <c r="H12" i="71"/>
  <c r="J47" i="71" s="1"/>
  <c r="E19" i="71"/>
  <c r="G28" i="67"/>
  <c r="M27" i="67"/>
  <c r="L25" i="67" s="1"/>
  <c r="G27" i="67"/>
  <c r="G28" i="69"/>
  <c r="G27" i="69"/>
  <c r="M27" i="69"/>
  <c r="L25" i="69" s="1"/>
  <c r="H12" i="69"/>
  <c r="E19" i="69"/>
  <c r="H12" i="68"/>
  <c r="J47" i="68" s="1"/>
  <c r="E19" i="68"/>
  <c r="E19" i="67"/>
  <c r="H12" i="67"/>
  <c r="J12" i="67" s="1"/>
  <c r="G28" i="68"/>
  <c r="G27" i="68"/>
  <c r="M27" i="68"/>
  <c r="L25" i="68" s="1"/>
  <c r="G28" i="71"/>
  <c r="M27" i="71"/>
  <c r="L25" i="71" s="1"/>
  <c r="G27" i="71"/>
  <c r="G28" i="70"/>
  <c r="M27" i="70"/>
  <c r="L25" i="70" s="1"/>
  <c r="G27" i="70"/>
  <c r="E19" i="70"/>
  <c r="H12" i="70"/>
  <c r="G28" i="66"/>
  <c r="G27" i="66"/>
  <c r="M27" i="66"/>
  <c r="L25" i="66" s="1"/>
  <c r="H12" i="66"/>
  <c r="E19" i="66"/>
  <c r="G28" i="64"/>
  <c r="M27" i="64"/>
  <c r="L25" i="64" s="1"/>
  <c r="G27" i="64"/>
  <c r="H12" i="65"/>
  <c r="E19" i="65"/>
  <c r="E19" i="62"/>
  <c r="H12" i="62"/>
  <c r="G27" i="63"/>
  <c r="G28" i="63"/>
  <c r="M27" i="63"/>
  <c r="L25" i="63" s="1"/>
  <c r="H12" i="63"/>
  <c r="E19" i="63"/>
  <c r="H12" i="64"/>
  <c r="E19" i="64"/>
  <c r="G28" i="61"/>
  <c r="M27" i="61"/>
  <c r="L25" i="61" s="1"/>
  <c r="G27" i="61"/>
  <c r="G28" i="65"/>
  <c r="M27" i="65"/>
  <c r="L25" i="65" s="1"/>
  <c r="G27" i="65"/>
  <c r="H12" i="61"/>
  <c r="E19" i="61"/>
  <c r="G28" i="62"/>
  <c r="M27" i="62"/>
  <c r="L25" i="62" s="1"/>
  <c r="G27" i="62"/>
  <c r="E27" i="44"/>
  <c r="G28" i="44" s="1"/>
  <c r="G28" i="60"/>
  <c r="G27" i="60"/>
  <c r="M27" i="60"/>
  <c r="L25" i="60" s="1"/>
  <c r="E19" i="60"/>
  <c r="H14" i="60"/>
  <c r="L18" i="60" s="1"/>
  <c r="H12" i="58"/>
  <c r="E19" i="58"/>
  <c r="H12" i="56"/>
  <c r="J12" i="56" s="1"/>
  <c r="E19" i="56"/>
  <c r="G28" i="56"/>
  <c r="M27" i="56"/>
  <c r="L25" i="56" s="1"/>
  <c r="G27" i="56"/>
  <c r="H12" i="59"/>
  <c r="J47" i="59" s="1"/>
  <c r="E19" i="59"/>
  <c r="G28" i="58"/>
  <c r="G27" i="58"/>
  <c r="M27" i="58"/>
  <c r="L25" i="58" s="1"/>
  <c r="G28" i="59"/>
  <c r="G27" i="59"/>
  <c r="M27" i="59"/>
  <c r="L25" i="59" s="1"/>
  <c r="D44" i="88"/>
  <c r="D44" i="62"/>
  <c r="D44" i="74"/>
  <c r="D44" i="83"/>
  <c r="D44" i="60"/>
  <c r="D44" i="61"/>
  <c r="D44" i="84"/>
  <c r="D44" i="66"/>
  <c r="D44" i="69"/>
  <c r="D44" i="59"/>
  <c r="D44" i="76"/>
  <c r="D44" i="75"/>
  <c r="D44" i="78"/>
  <c r="D44" i="82"/>
  <c r="D44" i="71"/>
  <c r="D44" i="67"/>
  <c r="D44" i="86"/>
  <c r="D44" i="68"/>
  <c r="D44" i="81"/>
  <c r="D44" i="80"/>
  <c r="D44" i="63"/>
  <c r="D44" i="72"/>
  <c r="D44" i="58"/>
  <c r="D44" i="65"/>
  <c r="D44" i="56"/>
  <c r="D44" i="70"/>
  <c r="D44" i="64"/>
  <c r="D44" i="73"/>
  <c r="I18" i="45"/>
  <c r="J18" i="45" s="1"/>
  <c r="I16" i="45"/>
  <c r="J16" i="45" s="1"/>
  <c r="J22" i="45" s="1"/>
  <c r="Q5" i="45" s="1"/>
  <c r="L23" i="45"/>
  <c r="G12" i="44"/>
  <c r="H17" i="45"/>
  <c r="F14" i="44"/>
  <c r="F13" i="44"/>
  <c r="E18" i="56"/>
  <c r="E18" i="83"/>
  <c r="E18" i="88"/>
  <c r="E18" i="84"/>
  <c r="E18" i="69"/>
  <c r="J18" i="44"/>
  <c r="E18" i="70"/>
  <c r="E18" i="80"/>
  <c r="E18" i="72"/>
  <c r="E18" i="81"/>
  <c r="E18" i="64"/>
  <c r="E18" i="63"/>
  <c r="G28" i="38"/>
  <c r="H28" i="38" s="1"/>
  <c r="E36" i="38"/>
  <c r="E30" i="38"/>
  <c r="G13" i="38"/>
  <c r="H13" i="38" s="1"/>
  <c r="F12" i="38"/>
  <c r="F11" i="38"/>
  <c r="G20" i="38"/>
  <c r="F20" i="38"/>
  <c r="G22" i="38"/>
  <c r="H22" i="38" s="1"/>
  <c r="F22" i="38"/>
  <c r="H11" i="38"/>
  <c r="E38" i="38"/>
  <c r="E39" i="38"/>
  <c r="E40" i="38"/>
  <c r="D44" i="44" l="1"/>
  <c r="L18" i="88"/>
  <c r="J4" i="88"/>
  <c r="J47" i="88"/>
  <c r="J12" i="88"/>
  <c r="J18" i="87"/>
  <c r="J18" i="85"/>
  <c r="J47" i="83"/>
  <c r="L18" i="83"/>
  <c r="J12" i="83"/>
  <c r="J4" i="83"/>
  <c r="G19" i="88"/>
  <c r="M18" i="88"/>
  <c r="G18" i="88"/>
  <c r="J18" i="86"/>
  <c r="D44" i="87"/>
  <c r="D44" i="85"/>
  <c r="H12" i="87"/>
  <c r="E19" i="87"/>
  <c r="G19" i="83"/>
  <c r="G18" i="83"/>
  <c r="M18" i="83"/>
  <c r="E18" i="86"/>
  <c r="J18" i="88"/>
  <c r="J47" i="86"/>
  <c r="J4" i="86"/>
  <c r="J12" i="86"/>
  <c r="L18" i="86"/>
  <c r="G19" i="84"/>
  <c r="G18" i="84"/>
  <c r="M18" i="84"/>
  <c r="E18" i="85"/>
  <c r="E18" i="87"/>
  <c r="J4" i="84"/>
  <c r="J12" i="84"/>
  <c r="J47" i="84"/>
  <c r="L18" i="84"/>
  <c r="J18" i="84"/>
  <c r="E19" i="85"/>
  <c r="H12" i="85"/>
  <c r="G28" i="87"/>
  <c r="G27" i="87"/>
  <c r="M27" i="87"/>
  <c r="L25" i="87" s="1"/>
  <c r="J18" i="83"/>
  <c r="G28" i="85"/>
  <c r="G27" i="85"/>
  <c r="M27" i="85"/>
  <c r="L25" i="85" s="1"/>
  <c r="J18" i="82"/>
  <c r="E18" i="82"/>
  <c r="J12" i="82"/>
  <c r="L18" i="82"/>
  <c r="J47" i="82"/>
  <c r="J4" i="82"/>
  <c r="J12" i="76"/>
  <c r="L18" i="76"/>
  <c r="J47" i="76"/>
  <c r="J4" i="76"/>
  <c r="J18" i="76"/>
  <c r="J47" i="80"/>
  <c r="J4" i="80"/>
  <c r="L18" i="80"/>
  <c r="E18" i="76"/>
  <c r="E18" i="78"/>
  <c r="J18" i="80"/>
  <c r="J47" i="81"/>
  <c r="L18" i="81"/>
  <c r="J4" i="81"/>
  <c r="E18" i="77"/>
  <c r="J18" i="81"/>
  <c r="G19" i="80"/>
  <c r="G18" i="80"/>
  <c r="M18" i="80"/>
  <c r="D44" i="77"/>
  <c r="H12" i="77"/>
  <c r="E19" i="77"/>
  <c r="E27" i="77"/>
  <c r="J18" i="77"/>
  <c r="G19" i="81"/>
  <c r="M18" i="81"/>
  <c r="G18" i="81"/>
  <c r="J18" i="78"/>
  <c r="J4" i="78"/>
  <c r="L18" i="78"/>
  <c r="J47" i="78"/>
  <c r="J12" i="78"/>
  <c r="E18" i="73"/>
  <c r="E18" i="74"/>
  <c r="E18" i="75"/>
  <c r="J18" i="72"/>
  <c r="J12" i="72"/>
  <c r="L18" i="72"/>
  <c r="J4" i="72"/>
  <c r="J47" i="72"/>
  <c r="J12" i="74"/>
  <c r="L18" i="74"/>
  <c r="J4" i="74"/>
  <c r="J47" i="74"/>
  <c r="J18" i="73"/>
  <c r="J18" i="74"/>
  <c r="J4" i="75"/>
  <c r="L18" i="75"/>
  <c r="J12" i="75"/>
  <c r="J47" i="75"/>
  <c r="J18" i="75"/>
  <c r="G19" i="72"/>
  <c r="G18" i="72"/>
  <c r="M18" i="72"/>
  <c r="J47" i="73"/>
  <c r="J12" i="73"/>
  <c r="J4" i="73"/>
  <c r="L18" i="73"/>
  <c r="E18" i="71"/>
  <c r="J4" i="69"/>
  <c r="J12" i="69"/>
  <c r="J47" i="69"/>
  <c r="L18" i="69"/>
  <c r="E18" i="67"/>
  <c r="E18" i="68"/>
  <c r="J18" i="70"/>
  <c r="J18" i="71"/>
  <c r="J18" i="68"/>
  <c r="G19" i="69"/>
  <c r="M18" i="69"/>
  <c r="G18" i="69"/>
  <c r="J47" i="56"/>
  <c r="I47" i="56" s="1"/>
  <c r="J18" i="69"/>
  <c r="I3" i="68"/>
  <c r="I47" i="68"/>
  <c r="J4" i="67"/>
  <c r="J47" i="67"/>
  <c r="L18" i="67"/>
  <c r="J47" i="70"/>
  <c r="J4" i="70"/>
  <c r="J12" i="70"/>
  <c r="L18" i="70"/>
  <c r="I3" i="71"/>
  <c r="I47" i="71"/>
  <c r="J18" i="67"/>
  <c r="G19" i="70"/>
  <c r="G18" i="70"/>
  <c r="M18" i="70"/>
  <c r="L18" i="68"/>
  <c r="J12" i="68"/>
  <c r="J4" i="68"/>
  <c r="J4" i="71"/>
  <c r="J12" i="71"/>
  <c r="L18" i="71"/>
  <c r="J18" i="66"/>
  <c r="E18" i="66"/>
  <c r="J12" i="66"/>
  <c r="J4" i="66"/>
  <c r="L18" i="66"/>
  <c r="J47" i="66"/>
  <c r="J47" i="60"/>
  <c r="I3" i="60" s="1"/>
  <c r="J12" i="60"/>
  <c r="J4" i="60"/>
  <c r="J18" i="64"/>
  <c r="J47" i="63"/>
  <c r="J4" i="63"/>
  <c r="L18" i="63"/>
  <c r="J12" i="63"/>
  <c r="G19" i="63"/>
  <c r="G18" i="63"/>
  <c r="M18" i="63"/>
  <c r="G19" i="64"/>
  <c r="G18" i="64"/>
  <c r="M18" i="64"/>
  <c r="J47" i="61"/>
  <c r="L18" i="61"/>
  <c r="J4" i="61"/>
  <c r="J12" i="61"/>
  <c r="J18" i="62"/>
  <c r="J18" i="65"/>
  <c r="J18" i="61"/>
  <c r="E18" i="61"/>
  <c r="J4" i="62"/>
  <c r="J47" i="62"/>
  <c r="J12" i="62"/>
  <c r="L18" i="62"/>
  <c r="J18" i="63"/>
  <c r="J47" i="65"/>
  <c r="L18" i="65"/>
  <c r="J4" i="65"/>
  <c r="J12" i="65"/>
  <c r="E18" i="65"/>
  <c r="E18" i="62"/>
  <c r="J12" i="64"/>
  <c r="J4" i="64"/>
  <c r="L18" i="64"/>
  <c r="J47" i="64"/>
  <c r="M27" i="44"/>
  <c r="L25" i="44" s="1"/>
  <c r="G27" i="44"/>
  <c r="J18" i="56"/>
  <c r="J18" i="60"/>
  <c r="E18" i="60"/>
  <c r="J4" i="59"/>
  <c r="L18" i="59"/>
  <c r="J12" i="59"/>
  <c r="E18" i="59"/>
  <c r="E18" i="58"/>
  <c r="J18" i="59"/>
  <c r="G19" i="56"/>
  <c r="G18" i="56"/>
  <c r="M18" i="56"/>
  <c r="J47" i="58"/>
  <c r="L18" i="58"/>
  <c r="J12" i="58"/>
  <c r="J4" i="58"/>
  <c r="L18" i="56"/>
  <c r="J4" i="56"/>
  <c r="J18" i="58"/>
  <c r="I47" i="59"/>
  <c r="I3" i="59"/>
  <c r="E18" i="44"/>
  <c r="M18" i="44" s="1"/>
  <c r="H12" i="44"/>
  <c r="J27" i="61"/>
  <c r="J27" i="71"/>
  <c r="J27" i="56"/>
  <c r="J27" i="67"/>
  <c r="J27" i="66"/>
  <c r="J27" i="64"/>
  <c r="J27" i="63"/>
  <c r="J27" i="75"/>
  <c r="J27" i="69"/>
  <c r="J27" i="72"/>
  <c r="J27" i="74"/>
  <c r="J27" i="86"/>
  <c r="J27" i="62"/>
  <c r="J27" i="82"/>
  <c r="J27" i="80"/>
  <c r="J27" i="78"/>
  <c r="J27" i="58"/>
  <c r="J27" i="60"/>
  <c r="J27" i="83"/>
  <c r="J27" i="59"/>
  <c r="J27" i="81"/>
  <c r="J27" i="70"/>
  <c r="J27" i="76"/>
  <c r="J27" i="88"/>
  <c r="J27" i="84"/>
  <c r="J27" i="73"/>
  <c r="E19" i="44"/>
  <c r="C23" i="46"/>
  <c r="C26" i="46"/>
  <c r="C23" i="45"/>
  <c r="Q3" i="45" s="1"/>
  <c r="G40" i="38"/>
  <c r="H40" i="38" s="1"/>
  <c r="F40" i="38"/>
  <c r="E24" i="38"/>
  <c r="F36" i="38"/>
  <c r="G36" i="38"/>
  <c r="H36" i="38" s="1"/>
  <c r="G39" i="38"/>
  <c r="H39" i="38" s="1"/>
  <c r="F39" i="38"/>
  <c r="E31" i="38"/>
  <c r="E18" i="38"/>
  <c r="F30" i="38"/>
  <c r="G30" i="38"/>
  <c r="G38" i="38"/>
  <c r="H38" i="38" s="1"/>
  <c r="F38" i="38"/>
  <c r="C45" i="38"/>
  <c r="E21" i="38"/>
  <c r="E17" i="38"/>
  <c r="J11" i="38"/>
  <c r="H20" i="38"/>
  <c r="J27" i="65" l="1"/>
  <c r="I47" i="60"/>
  <c r="G19" i="85"/>
  <c r="M18" i="85"/>
  <c r="G18" i="85"/>
  <c r="J4" i="85"/>
  <c r="J47" i="85"/>
  <c r="L18" i="85"/>
  <c r="J12" i="85"/>
  <c r="L16" i="83"/>
  <c r="I47" i="83"/>
  <c r="I3" i="83"/>
  <c r="J47" i="87"/>
  <c r="J12" i="87"/>
  <c r="L18" i="87"/>
  <c r="J4" i="87"/>
  <c r="J27" i="87"/>
  <c r="J27" i="85"/>
  <c r="L16" i="84"/>
  <c r="I3" i="84"/>
  <c r="I47" i="84"/>
  <c r="I3" i="86"/>
  <c r="I47" i="86"/>
  <c r="I47" i="88"/>
  <c r="I3" i="88"/>
  <c r="I3" i="56"/>
  <c r="G19" i="87"/>
  <c r="M18" i="87"/>
  <c r="G18" i="87"/>
  <c r="G19" i="86"/>
  <c r="G18" i="86"/>
  <c r="M18" i="86"/>
  <c r="L16" i="86" s="1"/>
  <c r="L16" i="88"/>
  <c r="I47" i="82"/>
  <c r="I3" i="82"/>
  <c r="G19" i="82"/>
  <c r="G18" i="82"/>
  <c r="M18" i="82"/>
  <c r="L16" i="82" s="1"/>
  <c r="G19" i="76"/>
  <c r="G18" i="76"/>
  <c r="M18" i="76"/>
  <c r="L16" i="76" s="1"/>
  <c r="I47" i="78"/>
  <c r="I3" i="78"/>
  <c r="L16" i="80"/>
  <c r="L16" i="72"/>
  <c r="G28" i="77"/>
  <c r="M27" i="77"/>
  <c r="L25" i="77" s="1"/>
  <c r="G27" i="77"/>
  <c r="G19" i="77"/>
  <c r="M18" i="77"/>
  <c r="G18" i="77"/>
  <c r="I47" i="80"/>
  <c r="I3" i="80"/>
  <c r="J27" i="77"/>
  <c r="L16" i="81"/>
  <c r="J47" i="77"/>
  <c r="L18" i="77"/>
  <c r="J4" i="77"/>
  <c r="J12" i="77"/>
  <c r="I47" i="81"/>
  <c r="I3" i="81"/>
  <c r="I47" i="76"/>
  <c r="I3" i="76"/>
  <c r="G19" i="78"/>
  <c r="G18" i="78"/>
  <c r="M18" i="78"/>
  <c r="L16" i="78" s="1"/>
  <c r="I47" i="75"/>
  <c r="I3" i="75"/>
  <c r="I3" i="72"/>
  <c r="I47" i="72"/>
  <c r="I47" i="73"/>
  <c r="I3" i="73"/>
  <c r="G19" i="75"/>
  <c r="G18" i="75"/>
  <c r="M18" i="75"/>
  <c r="L16" i="75" s="1"/>
  <c r="I47" i="74"/>
  <c r="I3" i="74"/>
  <c r="G19" i="74"/>
  <c r="G18" i="74"/>
  <c r="M18" i="74"/>
  <c r="L16" i="74" s="1"/>
  <c r="G19" i="73"/>
  <c r="G18" i="73"/>
  <c r="M18" i="73"/>
  <c r="L16" i="73" s="1"/>
  <c r="G19" i="68"/>
  <c r="M18" i="68"/>
  <c r="L16" i="68" s="1"/>
  <c r="G18" i="68"/>
  <c r="L16" i="70"/>
  <c r="G19" i="67"/>
  <c r="G18" i="67"/>
  <c r="M18" i="67"/>
  <c r="L16" i="67" s="1"/>
  <c r="I47" i="70"/>
  <c r="I3" i="70"/>
  <c r="L16" i="69"/>
  <c r="J27" i="68"/>
  <c r="I47" i="69"/>
  <c r="I3" i="69"/>
  <c r="I47" i="67"/>
  <c r="I3" i="67"/>
  <c r="G19" i="71"/>
  <c r="G18" i="71"/>
  <c r="M18" i="71"/>
  <c r="L16" i="71" s="1"/>
  <c r="I3" i="66"/>
  <c r="I47" i="66"/>
  <c r="G19" i="66"/>
  <c r="M18" i="66"/>
  <c r="L16" i="66" s="1"/>
  <c r="G18" i="66"/>
  <c r="G19" i="65"/>
  <c r="M18" i="65"/>
  <c r="L16" i="65" s="1"/>
  <c r="G18" i="65"/>
  <c r="G19" i="61"/>
  <c r="G18" i="61"/>
  <c r="M18" i="61"/>
  <c r="L16" i="61" s="1"/>
  <c r="I47" i="65"/>
  <c r="I3" i="65"/>
  <c r="I3" i="64"/>
  <c r="I47" i="64"/>
  <c r="L16" i="64"/>
  <c r="L16" i="63"/>
  <c r="I47" i="63"/>
  <c r="I3" i="63"/>
  <c r="G19" i="62"/>
  <c r="M18" i="62"/>
  <c r="L16" i="62" s="1"/>
  <c r="G18" i="62"/>
  <c r="I3" i="62"/>
  <c r="I47" i="62"/>
  <c r="I3" i="61"/>
  <c r="I47" i="61"/>
  <c r="I3" i="58"/>
  <c r="I47" i="58"/>
  <c r="G19" i="59"/>
  <c r="G18" i="59"/>
  <c r="M18" i="59"/>
  <c r="L16" i="59" s="1"/>
  <c r="G19" i="60"/>
  <c r="G18" i="60"/>
  <c r="M18" i="60"/>
  <c r="L16" i="60" s="1"/>
  <c r="L16" i="56"/>
  <c r="G19" i="58"/>
  <c r="G18" i="58"/>
  <c r="M18" i="58"/>
  <c r="L16" i="58" s="1"/>
  <c r="J4" i="44"/>
  <c r="J47" i="44"/>
  <c r="L18" i="44"/>
  <c r="L16" i="44" s="1"/>
  <c r="J12" i="44"/>
  <c r="J27" i="44"/>
  <c r="C25" i="46"/>
  <c r="Q3" i="46"/>
  <c r="C24" i="46"/>
  <c r="C24" i="45"/>
  <c r="C25" i="45"/>
  <c r="C25" i="48"/>
  <c r="C26" i="48"/>
  <c r="G19" i="44"/>
  <c r="G18" i="44"/>
  <c r="J36" i="64"/>
  <c r="N10" i="54"/>
  <c r="E32" i="38"/>
  <c r="G32" i="38" s="1"/>
  <c r="H32" i="38" s="1"/>
  <c r="J36" i="58"/>
  <c r="J36" i="63"/>
  <c r="J36" i="83"/>
  <c r="J36" i="75"/>
  <c r="J36" i="67"/>
  <c r="J36" i="68"/>
  <c r="J36" i="84"/>
  <c r="J36" i="73"/>
  <c r="J36" i="59"/>
  <c r="J36" i="81"/>
  <c r="J36" i="60"/>
  <c r="J36" i="88"/>
  <c r="J36" i="70"/>
  <c r="J36" i="62"/>
  <c r="J36" i="72"/>
  <c r="J36" i="66"/>
  <c r="J36" i="56"/>
  <c r="J36" i="76"/>
  <c r="J36" i="86"/>
  <c r="J36" i="82"/>
  <c r="J36" i="80"/>
  <c r="J36" i="61"/>
  <c r="J36" i="74"/>
  <c r="J36" i="65"/>
  <c r="J36" i="69"/>
  <c r="J36" i="71"/>
  <c r="J36" i="78"/>
  <c r="G24" i="38"/>
  <c r="H24" i="38" s="1"/>
  <c r="F24" i="38"/>
  <c r="F21" i="38"/>
  <c r="G21" i="38"/>
  <c r="E42" i="38"/>
  <c r="G43" i="38" s="1"/>
  <c r="G31" i="38"/>
  <c r="H31" i="38" s="1"/>
  <c r="F31" i="38"/>
  <c r="H30" i="38"/>
  <c r="I2" i="38"/>
  <c r="I40" i="38"/>
  <c r="C46" i="38"/>
  <c r="C47" i="38"/>
  <c r="G18" i="38"/>
  <c r="G17" i="38"/>
  <c r="D39" i="44" l="1"/>
  <c r="L16" i="85"/>
  <c r="I47" i="85"/>
  <c r="I3" i="85"/>
  <c r="L16" i="77"/>
  <c r="L16" i="87"/>
  <c r="J36" i="87"/>
  <c r="J36" i="85"/>
  <c r="I47" i="87"/>
  <c r="I3" i="87"/>
  <c r="D39" i="77"/>
  <c r="J45" i="77" s="1"/>
  <c r="I47" i="77"/>
  <c r="I3" i="77"/>
  <c r="J36" i="44"/>
  <c r="C26" i="47"/>
  <c r="D40" i="44"/>
  <c r="D41" i="44"/>
  <c r="N101" i="54"/>
  <c r="N107" i="54"/>
  <c r="N28" i="54"/>
  <c r="D39" i="66" s="1"/>
  <c r="N41" i="54"/>
  <c r="N132" i="54"/>
  <c r="N36" i="54"/>
  <c r="D39" i="56" s="1"/>
  <c r="N109" i="54"/>
  <c r="N37" i="54"/>
  <c r="D39" i="71" s="1"/>
  <c r="N85" i="54"/>
  <c r="N55" i="54"/>
  <c r="N32" i="54"/>
  <c r="N51" i="54"/>
  <c r="N149" i="54"/>
  <c r="N131" i="54"/>
  <c r="N134" i="54"/>
  <c r="N105" i="54"/>
  <c r="N34" i="54"/>
  <c r="N74" i="54"/>
  <c r="D39" i="72" s="1"/>
  <c r="N119" i="54"/>
  <c r="D39" i="75" s="1"/>
  <c r="N67" i="54"/>
  <c r="N29" i="54"/>
  <c r="N78" i="54"/>
  <c r="N151" i="54"/>
  <c r="N49" i="54"/>
  <c r="N63" i="54"/>
  <c r="N92" i="54"/>
  <c r="N121" i="54"/>
  <c r="N33" i="54"/>
  <c r="N26" i="54"/>
  <c r="D39" i="83" s="1"/>
  <c r="N113" i="54"/>
  <c r="N153" i="54"/>
  <c r="N70" i="54"/>
  <c r="D39" i="67" s="1"/>
  <c r="N16" i="54"/>
  <c r="D39" i="69" s="1"/>
  <c r="N40" i="54"/>
  <c r="N31" i="54"/>
  <c r="N15" i="54"/>
  <c r="D39" i="81" s="1"/>
  <c r="N38" i="54"/>
  <c r="D39" i="84" s="1"/>
  <c r="N30" i="54"/>
  <c r="N13" i="54"/>
  <c r="N42" i="54"/>
  <c r="N46" i="54"/>
  <c r="N145" i="54"/>
  <c r="N130" i="54"/>
  <c r="N21" i="54"/>
  <c r="N23" i="54"/>
  <c r="N86" i="54"/>
  <c r="N22" i="54"/>
  <c r="D39" i="73" s="1"/>
  <c r="N118" i="54"/>
  <c r="N155" i="54"/>
  <c r="N79" i="54"/>
  <c r="N124" i="54"/>
  <c r="N27" i="54"/>
  <c r="N82" i="54"/>
  <c r="N138" i="54"/>
  <c r="N106" i="54"/>
  <c r="N89" i="54"/>
  <c r="N104" i="54"/>
  <c r="N126" i="54"/>
  <c r="N12" i="54"/>
  <c r="D39" i="82" s="1"/>
  <c r="N122" i="54"/>
  <c r="N35" i="54"/>
  <c r="D39" i="60" s="1"/>
  <c r="N24" i="54"/>
  <c r="N116" i="54"/>
  <c r="N57" i="54"/>
  <c r="N158" i="54"/>
  <c r="N91" i="54"/>
  <c r="N14" i="54"/>
  <c r="N117" i="54"/>
  <c r="N68" i="54"/>
  <c r="D39" i="63" s="1"/>
  <c r="N61" i="54"/>
  <c r="N96" i="54"/>
  <c r="N77" i="54"/>
  <c r="N83" i="54"/>
  <c r="D39" i="64" s="1"/>
  <c r="N17" i="54"/>
  <c r="N81" i="54"/>
  <c r="N50" i="54"/>
  <c r="N48" i="54"/>
  <c r="N53" i="54"/>
  <c r="N120" i="54"/>
  <c r="N159" i="54"/>
  <c r="N135" i="54"/>
  <c r="N97" i="54"/>
  <c r="N66" i="54"/>
  <c r="N103" i="54"/>
  <c r="N59" i="54"/>
  <c r="N133" i="54"/>
  <c r="D39" i="86" s="1"/>
  <c r="N98" i="54"/>
  <c r="D39" i="70" s="1"/>
  <c r="N84" i="54"/>
  <c r="N143" i="54"/>
  <c r="N154" i="54"/>
  <c r="N87" i="54"/>
  <c r="D39" i="62" s="1"/>
  <c r="N45" i="54"/>
  <c r="N127" i="54"/>
  <c r="N75" i="54"/>
  <c r="N128" i="54"/>
  <c r="N56" i="54"/>
  <c r="N137" i="54"/>
  <c r="D39" i="59" s="1"/>
  <c r="N139" i="54"/>
  <c r="N44" i="54"/>
  <c r="N72" i="54"/>
  <c r="N147" i="54"/>
  <c r="N47" i="54"/>
  <c r="N160" i="54"/>
  <c r="N150" i="54"/>
  <c r="N20" i="54"/>
  <c r="D39" i="74" s="1"/>
  <c r="N54" i="54"/>
  <c r="N11" i="54"/>
  <c r="N100" i="54"/>
  <c r="N58" i="54"/>
  <c r="N141" i="54"/>
  <c r="N148" i="54"/>
  <c r="N69" i="54"/>
  <c r="D39" i="61" s="1"/>
  <c r="N93" i="54"/>
  <c r="N140" i="54"/>
  <c r="N112" i="54"/>
  <c r="N102" i="54"/>
  <c r="N125" i="54"/>
  <c r="N136" i="54"/>
  <c r="D39" i="58" s="1"/>
  <c r="N144" i="54"/>
  <c r="N123" i="54"/>
  <c r="N142" i="54"/>
  <c r="N65" i="54"/>
  <c r="N25" i="54"/>
  <c r="N156" i="54"/>
  <c r="N114" i="54"/>
  <c r="N94" i="54"/>
  <c r="N71" i="54"/>
  <c r="D39" i="68" s="1"/>
  <c r="N90" i="54"/>
  <c r="N39" i="54"/>
  <c r="D39" i="78" s="1"/>
  <c r="N99" i="54"/>
  <c r="N73" i="54"/>
  <c r="N52" i="54"/>
  <c r="D39" i="76" s="1"/>
  <c r="N95" i="54"/>
  <c r="N62" i="54"/>
  <c r="N152" i="54"/>
  <c r="N88" i="54"/>
  <c r="N64" i="54"/>
  <c r="N43" i="54"/>
  <c r="D39" i="88" s="1"/>
  <c r="N108" i="54"/>
  <c r="N18" i="54"/>
  <c r="N60" i="54"/>
  <c r="D39" i="80" s="1"/>
  <c r="N80" i="54"/>
  <c r="N111" i="54"/>
  <c r="N76" i="54"/>
  <c r="N146" i="54"/>
  <c r="N129" i="54"/>
  <c r="N157" i="54"/>
  <c r="N110" i="54"/>
  <c r="N19" i="54"/>
  <c r="N115" i="54"/>
  <c r="D39" i="65" s="1"/>
  <c r="F32" i="38"/>
  <c r="E26" i="38"/>
  <c r="H21" i="38"/>
  <c r="E25" i="38" s="1"/>
  <c r="G25" i="38" s="1"/>
  <c r="G42" i="38"/>
  <c r="E34" i="38"/>
  <c r="E33" i="38"/>
  <c r="G33" i="38" s="1"/>
  <c r="E43" i="38"/>
  <c r="D41" i="88" l="1"/>
  <c r="D40" i="88"/>
  <c r="J45" i="88"/>
  <c r="J2" i="88"/>
  <c r="D41" i="83"/>
  <c r="D40" i="83"/>
  <c r="J2" i="83"/>
  <c r="J45" i="83"/>
  <c r="D41" i="86"/>
  <c r="D40" i="86"/>
  <c r="J2" i="86"/>
  <c r="J45" i="86"/>
  <c r="D41" i="84"/>
  <c r="D40" i="84"/>
  <c r="J2" i="84"/>
  <c r="J45" i="84"/>
  <c r="D39" i="87"/>
  <c r="D39" i="85"/>
  <c r="D41" i="82"/>
  <c r="D40" i="82"/>
  <c r="J45" i="82"/>
  <c r="J2" i="82"/>
  <c r="J2" i="77"/>
  <c r="D41" i="80"/>
  <c r="D40" i="80"/>
  <c r="J2" i="80"/>
  <c r="J45" i="80"/>
  <c r="D41" i="78"/>
  <c r="D40" i="78"/>
  <c r="J2" i="78"/>
  <c r="J45" i="78"/>
  <c r="J36" i="77"/>
  <c r="D41" i="77"/>
  <c r="D40" i="77"/>
  <c r="D41" i="76"/>
  <c r="D40" i="76"/>
  <c r="J45" i="76"/>
  <c r="J2" i="76"/>
  <c r="D41" i="81"/>
  <c r="D40" i="81"/>
  <c r="J45" i="81"/>
  <c r="J2" i="81"/>
  <c r="D41" i="74"/>
  <c r="D40" i="74"/>
  <c r="J2" i="74"/>
  <c r="J45" i="74"/>
  <c r="D41" i="75"/>
  <c r="D40" i="75"/>
  <c r="J2" i="75"/>
  <c r="J45" i="75"/>
  <c r="D41" i="72"/>
  <c r="D40" i="72"/>
  <c r="J45" i="72"/>
  <c r="J2" i="72"/>
  <c r="D41" i="73"/>
  <c r="D40" i="73"/>
  <c r="J2" i="73"/>
  <c r="J45" i="73"/>
  <c r="D41" i="67"/>
  <c r="D40" i="67"/>
  <c r="J2" i="67"/>
  <c r="J45" i="67"/>
  <c r="D41" i="71"/>
  <c r="D40" i="71"/>
  <c r="J45" i="71"/>
  <c r="J2" i="71"/>
  <c r="D41" i="69"/>
  <c r="D40" i="69"/>
  <c r="J2" i="69"/>
  <c r="J45" i="69"/>
  <c r="D41" i="68"/>
  <c r="D40" i="68"/>
  <c r="J45" i="68"/>
  <c r="J2" i="68"/>
  <c r="D41" i="70"/>
  <c r="D40" i="70"/>
  <c r="J2" i="70"/>
  <c r="J45" i="70"/>
  <c r="J2" i="44"/>
  <c r="D41" i="66"/>
  <c r="D40" i="66"/>
  <c r="J45" i="66"/>
  <c r="J2" i="66"/>
  <c r="D41" i="63"/>
  <c r="D40" i="63"/>
  <c r="J45" i="63"/>
  <c r="J2" i="63"/>
  <c r="D41" i="62"/>
  <c r="D40" i="62"/>
  <c r="J2" i="62"/>
  <c r="J45" i="62"/>
  <c r="D41" i="65"/>
  <c r="D40" i="65"/>
  <c r="J2" i="65"/>
  <c r="J45" i="65"/>
  <c r="D41" i="61"/>
  <c r="D40" i="61"/>
  <c r="J2" i="61"/>
  <c r="J45" i="61"/>
  <c r="D41" i="64"/>
  <c r="D40" i="64"/>
  <c r="J45" i="64"/>
  <c r="J2" i="64"/>
  <c r="D41" i="58"/>
  <c r="D40" i="58"/>
  <c r="J2" i="58"/>
  <c r="J45" i="58"/>
  <c r="D41" i="56"/>
  <c r="D40" i="56"/>
  <c r="J45" i="56"/>
  <c r="J2" i="56"/>
  <c r="D41" i="59"/>
  <c r="D40" i="59"/>
  <c r="J2" i="59"/>
  <c r="J45" i="59"/>
  <c r="D41" i="60"/>
  <c r="D40" i="60"/>
  <c r="J2" i="60"/>
  <c r="J45" i="60"/>
  <c r="I46" i="44"/>
  <c r="I47" i="44" s="1"/>
  <c r="I2" i="44"/>
  <c r="G26" i="38"/>
  <c r="J4" i="38"/>
  <c r="J41" i="38"/>
  <c r="I3" i="38" s="1"/>
  <c r="G34" i="38"/>
  <c r="D41" i="85" l="1"/>
  <c r="D40" i="85"/>
  <c r="J45" i="85"/>
  <c r="J2" i="85"/>
  <c r="D41" i="87"/>
  <c r="D40" i="87"/>
  <c r="J45" i="87"/>
  <c r="J2" i="87"/>
  <c r="J45" i="44"/>
  <c r="I3" i="44"/>
  <c r="J39" i="38"/>
  <c r="I41" i="38"/>
  <c r="J2" i="38"/>
</calcChain>
</file>

<file path=xl/sharedStrings.xml><?xml version="1.0" encoding="utf-8"?>
<sst xmlns="http://schemas.openxmlformats.org/spreadsheetml/2006/main" count="2417" uniqueCount="302">
  <si>
    <t>R No.</t>
  </si>
  <si>
    <t>Name</t>
  </si>
  <si>
    <t>NG</t>
  </si>
  <si>
    <t>Remarks</t>
  </si>
  <si>
    <t>Gomal University D.I.Khan</t>
  </si>
  <si>
    <t>Father Name</t>
  </si>
  <si>
    <t>CGPA</t>
  </si>
  <si>
    <t>Grade</t>
  </si>
  <si>
    <t>L.G</t>
  </si>
  <si>
    <t>GPA</t>
  </si>
  <si>
    <t>2nd Semester</t>
  </si>
  <si>
    <t>Course Code</t>
  </si>
  <si>
    <t>Marks %</t>
  </si>
  <si>
    <t>GPA:</t>
  </si>
  <si>
    <t>3rd Semester</t>
  </si>
  <si>
    <t>4th Semester</t>
  </si>
  <si>
    <t>Obtain Marks</t>
  </si>
  <si>
    <t>Dy. Controller of Examination</t>
  </si>
  <si>
    <t>Gomal University, Dera Ismail Khan</t>
  </si>
  <si>
    <t>Controller of Examination</t>
  </si>
  <si>
    <t>Total Marks:</t>
  </si>
  <si>
    <t xml:space="preserve">Registration NO. </t>
  </si>
  <si>
    <t xml:space="preserve">Session: </t>
  </si>
  <si>
    <t>Exam: Regular</t>
  </si>
  <si>
    <t xml:space="preserve">Dated: </t>
  </si>
  <si>
    <t xml:space="preserve">Program: </t>
  </si>
  <si>
    <t xml:space="preserve">Notification No. </t>
  </si>
  <si>
    <t>Financial Accounting</t>
  </si>
  <si>
    <t>Business Finance</t>
  </si>
  <si>
    <t>Business Management</t>
  </si>
  <si>
    <t>Principle of Economics</t>
  </si>
  <si>
    <t>Principles of Marketing</t>
  </si>
  <si>
    <t>FINANCIAL STATEMENT ANALYSIS</t>
  </si>
  <si>
    <t>Cost Accounting</t>
  </si>
  <si>
    <t>Investment Analysis and Portfolio Management</t>
  </si>
  <si>
    <t>Islamic Finance</t>
  </si>
  <si>
    <t>Method in Business Research</t>
  </si>
  <si>
    <t>Computer Application in Business and E-Commerce</t>
  </si>
  <si>
    <t xml:space="preserve">Human Resource Management </t>
  </si>
  <si>
    <t>Advance Managerial Accounting</t>
  </si>
  <si>
    <t xml:space="preserve">Financial Management </t>
  </si>
  <si>
    <t>Cost Accounting for selected Industries</t>
  </si>
  <si>
    <t>Financial Markets and Institutions</t>
  </si>
  <si>
    <t xml:space="preserve">  GOMAL UNIVERSITY, DERA ISMAIL KHAN</t>
  </si>
  <si>
    <t xml:space="preserve">                              ACADEMIC TRANSCRIPT</t>
  </si>
  <si>
    <t>Degree: MA Accounting &amp; Finance</t>
  </si>
  <si>
    <t>Session: 2020-2022</t>
  </si>
  <si>
    <t>Roll No:</t>
  </si>
  <si>
    <t>Course Title</t>
  </si>
  <si>
    <t>CH</t>
  </si>
  <si>
    <t>CH*GP</t>
  </si>
  <si>
    <t>1st  Semester</t>
  </si>
  <si>
    <t>SCH</t>
  </si>
  <si>
    <t>Grade:</t>
  </si>
  <si>
    <t>CCH</t>
  </si>
  <si>
    <t>SNG</t>
  </si>
  <si>
    <t>Remarks:</t>
  </si>
  <si>
    <t>Comprehensive and Viva Voce</t>
  </si>
  <si>
    <t>GRADE</t>
  </si>
  <si>
    <t>REMARKS</t>
  </si>
  <si>
    <t>Result Declaration Date: 29-03-2023</t>
  </si>
  <si>
    <t>Controller of Examinations</t>
  </si>
  <si>
    <t>Errors and Omission are Accepted.</t>
  </si>
  <si>
    <t>Accounting Information System</t>
  </si>
  <si>
    <t>Entrepreneurship &amp; SME Management</t>
  </si>
  <si>
    <t>Advanced Accounting for Business</t>
  </si>
  <si>
    <t>Advanced Auditing Problems</t>
  </si>
  <si>
    <t>GOMAL UNIVERSITY                DERA ISMAIL KHAN</t>
  </si>
  <si>
    <r>
      <t>(</t>
    </r>
    <r>
      <rPr>
        <b/>
        <i/>
        <sz val="12"/>
        <color indexed="8"/>
        <rFont val="Times New Roman"/>
        <family val="1"/>
      </rPr>
      <t>Khyber Pakhtunkhwa</t>
    </r>
    <r>
      <rPr>
        <b/>
        <sz val="12"/>
        <color indexed="8"/>
        <rFont val="Times New Roman"/>
        <family val="1"/>
      </rPr>
      <t>. Pakistan)</t>
    </r>
  </si>
  <si>
    <t>GRADE CARD</t>
  </si>
  <si>
    <t>Roll No.</t>
  </si>
  <si>
    <t>Registration No.</t>
  </si>
  <si>
    <t>Name:</t>
  </si>
  <si>
    <t>Father’s Name:</t>
  </si>
  <si>
    <t>Title</t>
  </si>
  <si>
    <t>Credit Hours</t>
  </si>
  <si>
    <t>N.G.</t>
  </si>
  <si>
    <t>G.P=</t>
  </si>
  <si>
    <t>(C.H X N.G)</t>
  </si>
  <si>
    <t xml:space="preserve"> </t>
  </si>
  <si>
    <r>
      <t>GPA of 1</t>
    </r>
    <r>
      <rPr>
        <vertAlign val="superscript"/>
        <sz val="12"/>
        <color indexed="8"/>
        <rFont val="Times New Roman"/>
        <family val="1"/>
      </rPr>
      <t>st</t>
    </r>
    <r>
      <rPr>
        <sz val="12"/>
        <color indexed="8"/>
        <rFont val="Times New Roman"/>
        <family val="1"/>
      </rPr>
      <t xml:space="preserve"> Semester     </t>
    </r>
  </si>
  <si>
    <t>Date of Result</t>
  </si>
  <si>
    <t>Errors and Omission Accepted.</t>
  </si>
  <si>
    <t xml:space="preserve">1st Semester </t>
  </si>
  <si>
    <r>
      <t>2</t>
    </r>
    <r>
      <rPr>
        <b/>
        <vertAlign val="superscript"/>
        <sz val="18"/>
        <color theme="1"/>
        <rFont val="Times New Roman"/>
        <family val="1"/>
      </rPr>
      <t xml:space="preserve">nd </t>
    </r>
    <r>
      <rPr>
        <b/>
        <sz val="18"/>
        <color theme="1"/>
        <rFont val="Times New Roman"/>
        <family val="1"/>
      </rPr>
      <t xml:space="preserve">Semester </t>
    </r>
  </si>
  <si>
    <r>
      <t>GPA of 2</t>
    </r>
    <r>
      <rPr>
        <vertAlign val="superscript"/>
        <sz val="12"/>
        <color theme="1"/>
        <rFont val="Times New Roman"/>
        <family val="1"/>
      </rPr>
      <t>nd</t>
    </r>
    <r>
      <rPr>
        <sz val="12"/>
        <color indexed="8"/>
        <rFont val="Times New Roman"/>
        <family val="1"/>
      </rPr>
      <t xml:space="preserve"> Semester     </t>
    </r>
  </si>
  <si>
    <r>
      <t>GPA of 3</t>
    </r>
    <r>
      <rPr>
        <vertAlign val="superscript"/>
        <sz val="12"/>
        <color theme="1"/>
        <rFont val="Times New Roman"/>
        <family val="1"/>
      </rPr>
      <t>rd</t>
    </r>
    <r>
      <rPr>
        <sz val="12"/>
        <color indexed="8"/>
        <rFont val="Times New Roman"/>
        <family val="1"/>
      </rPr>
      <t xml:space="preserve"> Semester     </t>
    </r>
  </si>
  <si>
    <r>
      <t>GPA of 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indexed="8"/>
        <rFont val="Times New Roman"/>
        <family val="1"/>
      </rPr>
      <t xml:space="preserve"> Semester     </t>
    </r>
  </si>
  <si>
    <r>
      <t>3</t>
    </r>
    <r>
      <rPr>
        <b/>
        <vertAlign val="superscript"/>
        <sz val="18"/>
        <color theme="1"/>
        <rFont val="Times New Roman"/>
        <family val="1"/>
      </rPr>
      <t>rd</t>
    </r>
    <r>
      <rPr>
        <b/>
        <sz val="18"/>
        <color theme="1"/>
        <rFont val="Times New Roman"/>
        <family val="1"/>
      </rPr>
      <t xml:space="preserve"> Semester </t>
    </r>
  </si>
  <si>
    <r>
      <t>4</t>
    </r>
    <r>
      <rPr>
        <b/>
        <vertAlign val="superscript"/>
        <sz val="18"/>
        <color theme="1"/>
        <rFont val="Times New Roman"/>
        <family val="1"/>
      </rPr>
      <t>th</t>
    </r>
    <r>
      <rPr>
        <b/>
        <sz val="18"/>
        <color theme="1"/>
        <rFont val="Times New Roman"/>
        <family val="1"/>
      </rPr>
      <t xml:space="preserve">Semester </t>
    </r>
  </si>
  <si>
    <t xml:space="preserve">Course </t>
  </si>
  <si>
    <t>Credits</t>
  </si>
  <si>
    <t>Total Marks</t>
  </si>
  <si>
    <t>GP</t>
  </si>
  <si>
    <t xml:space="preserve">Gp x Credits </t>
  </si>
  <si>
    <t>TOTAL CREDITS                                       =</t>
  </si>
  <si>
    <t>Subject to be Re-appeared</t>
  </si>
  <si>
    <t>Semester:  4th</t>
  </si>
  <si>
    <t>Column1</t>
  </si>
  <si>
    <t>Column2</t>
  </si>
  <si>
    <t>Column3</t>
  </si>
  <si>
    <t>Column4</t>
  </si>
  <si>
    <t>Column5</t>
  </si>
  <si>
    <t>Department Name:_______</t>
  </si>
  <si>
    <t xml:space="preserve">Name: </t>
  </si>
  <si>
    <t xml:space="preserve">Father Name: </t>
  </si>
  <si>
    <t xml:space="preserve">Reg No: </t>
  </si>
  <si>
    <t>Result Cards Of ____________________   Semester 4th, Session: ____________</t>
  </si>
  <si>
    <t>4th Semester GPA</t>
  </si>
  <si>
    <t>Auto</t>
  </si>
  <si>
    <t xml:space="preserve">Announced </t>
  </si>
  <si>
    <t>BD1524-1</t>
  </si>
  <si>
    <t>BD1524-3</t>
  </si>
  <si>
    <t>BD1524-6</t>
  </si>
  <si>
    <t>BD1524-7</t>
  </si>
  <si>
    <t>BD1524-11</t>
  </si>
  <si>
    <t>BD1524-13</t>
  </si>
  <si>
    <t>BD1524-17</t>
  </si>
  <si>
    <t>BD1524-19</t>
  </si>
  <si>
    <t>BD1524-26</t>
  </si>
  <si>
    <t>BD1524-27</t>
  </si>
  <si>
    <t>BD1524-28</t>
  </si>
  <si>
    <t>BD1524-29</t>
  </si>
  <si>
    <t>BD1524-30</t>
  </si>
  <si>
    <t>BD1524-35</t>
  </si>
  <si>
    <t>BD1524-44</t>
  </si>
  <si>
    <t>BD1524-54</t>
  </si>
  <si>
    <t>BD1524-62</t>
  </si>
  <si>
    <t>BD1524-63</t>
  </si>
  <si>
    <t>BD1524-64</t>
  </si>
  <si>
    <t>BD1524-67</t>
  </si>
  <si>
    <t>BD1524-70</t>
  </si>
  <si>
    <t>BD1524-79</t>
  </si>
  <si>
    <t>BD1524-84</t>
  </si>
  <si>
    <t>BD1524-91</t>
  </si>
  <si>
    <t>BD1524-95</t>
  </si>
  <si>
    <t>BD1524-116</t>
  </si>
  <si>
    <t>BD1524-123</t>
  </si>
  <si>
    <t>BD1524-135</t>
  </si>
  <si>
    <t>BD1524-139</t>
  </si>
  <si>
    <t>BD1524-140</t>
  </si>
  <si>
    <t>BD1524-149</t>
  </si>
  <si>
    <t>2023-2025</t>
  </si>
  <si>
    <t>16886-Gomal-11</t>
  </si>
  <si>
    <t>4629-T/CS</t>
  </si>
  <si>
    <t>303-GCBB-13</t>
  </si>
  <si>
    <t>3292-GUMP</t>
  </si>
  <si>
    <t>1479-D-C-I-17</t>
  </si>
  <si>
    <t>487-SAM/CS-11</t>
  </si>
  <si>
    <t>14243-Gomal-10</t>
  </si>
  <si>
    <t>2159-wana</t>
  </si>
  <si>
    <t>2281-ICIT-17</t>
  </si>
  <si>
    <t>70-Jan</t>
  </si>
  <si>
    <t>4853-T/CS</t>
  </si>
  <si>
    <t>3501-T/CS-12</t>
  </si>
  <si>
    <t>2448-Dagr-18</t>
  </si>
  <si>
    <t>4538-T/CS-18</t>
  </si>
  <si>
    <t>17348-GUB</t>
  </si>
  <si>
    <t>743-JANDOLA/CS</t>
  </si>
  <si>
    <t>1695-DCI-17</t>
  </si>
  <si>
    <t>4429-T-CS</t>
  </si>
  <si>
    <t>669-Jan/CS</t>
  </si>
  <si>
    <t>35-BSENG-TC/F-17</t>
  </si>
  <si>
    <t>2036-B.com-12</t>
  </si>
  <si>
    <t>5996/GUB</t>
  </si>
  <si>
    <t>2164-DCI-18</t>
  </si>
  <si>
    <t>897/Jan</t>
  </si>
  <si>
    <t>783-Math-19</t>
  </si>
  <si>
    <t>17096/GUB</t>
  </si>
  <si>
    <t>1235/TG</t>
  </si>
  <si>
    <t>115-BSTg-19</t>
  </si>
  <si>
    <t>116-BsTg-19</t>
  </si>
  <si>
    <t>134-BsTg-19</t>
  </si>
  <si>
    <t>125-BsTg-19</t>
  </si>
  <si>
    <t>108-BsTg-19</t>
  </si>
  <si>
    <t>4552-T-CS</t>
  </si>
  <si>
    <t>20528/GUB</t>
  </si>
  <si>
    <t>16446-gomal</t>
  </si>
  <si>
    <t>414-BIO-18</t>
  </si>
  <si>
    <t>329-Jan</t>
  </si>
  <si>
    <t>1921-DCI-18</t>
  </si>
  <si>
    <t>1601-GUB/CS-12</t>
  </si>
  <si>
    <t>20896/GUB</t>
  </si>
  <si>
    <t>21058/GUB</t>
  </si>
  <si>
    <t>1265-Chem-19</t>
  </si>
  <si>
    <t>394-G.Jan/CS-19</t>
  </si>
  <si>
    <t>223/AKT</t>
  </si>
  <si>
    <t>3137/Gamp</t>
  </si>
  <si>
    <t>99-Bstg-19</t>
  </si>
  <si>
    <t>319-bio-17</t>
  </si>
  <si>
    <t>42BSTG-18</t>
  </si>
  <si>
    <t>44BSTG-18</t>
  </si>
  <si>
    <t>65-BSENG/TC/F-19</t>
  </si>
  <si>
    <t>1093-DCI-2015</t>
  </si>
  <si>
    <t>11022-DS/CS-16</t>
  </si>
  <si>
    <t>1269-tg/cs-18</t>
  </si>
  <si>
    <t>41-BSENG-TC/F-17</t>
  </si>
  <si>
    <t>32-BSZOOL/TC/F-19</t>
  </si>
  <si>
    <t>4379-tcs-17</t>
  </si>
  <si>
    <t>4654-T-CS</t>
  </si>
  <si>
    <t>1325/49m</t>
  </si>
  <si>
    <t>4738-T/cs-2020</t>
  </si>
  <si>
    <t>17-BSTG-18</t>
  </si>
  <si>
    <t>693-Jan</t>
  </si>
  <si>
    <t>387-Jan</t>
  </si>
  <si>
    <t>1224-TG-CS-18</t>
  </si>
  <si>
    <t>4637-T-CS</t>
  </si>
  <si>
    <t>811-BSGGCI-19</t>
  </si>
  <si>
    <t>2493-DCI-19</t>
  </si>
  <si>
    <t>4641-T/CS-19</t>
  </si>
  <si>
    <t>590-Bio-19</t>
  </si>
  <si>
    <t>1050-GDC-1-2016</t>
  </si>
  <si>
    <t>72-BSENG/TC/F-19</t>
  </si>
  <si>
    <t>125-AKT</t>
  </si>
  <si>
    <t>292-TG-CS</t>
  </si>
  <si>
    <t>111-T/CS-17</t>
  </si>
  <si>
    <t>1124-PHY-19</t>
  </si>
  <si>
    <t>1110-GDC-1-2016</t>
  </si>
  <si>
    <t>94-BsTg-19</t>
  </si>
  <si>
    <t>98-BsTg-19</t>
  </si>
  <si>
    <t>2974/T-CS</t>
  </si>
  <si>
    <t>871-CHEM-15</t>
  </si>
  <si>
    <t>690-Jan</t>
  </si>
  <si>
    <t>1009-Chem-17</t>
  </si>
  <si>
    <t>25-BSCS/TC/F-18</t>
  </si>
  <si>
    <t>569-Jan-18</t>
  </si>
  <si>
    <t>4528-T/CS-18</t>
  </si>
  <si>
    <t>542-BSGGCI-18</t>
  </si>
  <si>
    <t>132-BsTg-19</t>
  </si>
  <si>
    <t>100-BSENG/TC/F-19</t>
  </si>
  <si>
    <t>64-BSENG/TC/F-19</t>
  </si>
  <si>
    <t>23-BsTg-18</t>
  </si>
  <si>
    <t>446-Jan/CS-17</t>
  </si>
  <si>
    <t>102-BsTg-19</t>
  </si>
  <si>
    <t>904-sam</t>
  </si>
  <si>
    <t>1619-D-C-1-17</t>
  </si>
  <si>
    <t>44-BSENG/TC/F-18</t>
  </si>
  <si>
    <t>239-Akt</t>
  </si>
  <si>
    <t>3288-GUMP</t>
  </si>
  <si>
    <t>8189-gub</t>
  </si>
  <si>
    <t>16669-gomal</t>
  </si>
  <si>
    <t>253-FEC-23</t>
  </si>
  <si>
    <t>20-BSZOOL/FC/F-19</t>
  </si>
  <si>
    <t>16730-gomal-11</t>
  </si>
  <si>
    <t>43-BSENG/TC/F-18</t>
  </si>
  <si>
    <t>4650-T/cs</t>
  </si>
  <si>
    <t>3487/Gomal</t>
  </si>
  <si>
    <t>315-G-WANA/CS-17</t>
  </si>
  <si>
    <t>67-BSENG/TC/F-19</t>
  </si>
  <si>
    <t>173-akt-18</t>
  </si>
  <si>
    <t>2713-DCI-19</t>
  </si>
  <si>
    <t>1258-Chem-19</t>
  </si>
  <si>
    <t>1005-Tg/cs</t>
  </si>
  <si>
    <t>33-BsTg-16</t>
  </si>
  <si>
    <t>394-Bg-G99</t>
  </si>
  <si>
    <t>10037-GUB/CS-15</t>
  </si>
  <si>
    <t>17453-GUB/CS-18</t>
  </si>
  <si>
    <t>252-FEC-23</t>
  </si>
  <si>
    <t>CGPA:</t>
  </si>
  <si>
    <t>REMARKS:</t>
  </si>
  <si>
    <t>Obtained Marks:</t>
  </si>
  <si>
    <t>Obtained Marks %:</t>
  </si>
  <si>
    <t>Result Declaration Date: 18-08-2025</t>
  </si>
  <si>
    <t>Errors and Omissions are Accepted</t>
  </si>
  <si>
    <t>L.Grade</t>
  </si>
  <si>
    <t>1673-WANA/CS-15</t>
  </si>
  <si>
    <t>240-FEC-23</t>
  </si>
  <si>
    <t>241-FEC-23</t>
  </si>
  <si>
    <t>242-FEC-23</t>
  </si>
  <si>
    <t>3901-T/CS-15</t>
  </si>
  <si>
    <t>243-FEC-23</t>
  </si>
  <si>
    <t>4504-T/CS-17</t>
  </si>
  <si>
    <t>244-FEC-23</t>
  </si>
  <si>
    <t>20316-GUB/CS-19</t>
  </si>
  <si>
    <t>245-FEC-23</t>
  </si>
  <si>
    <t>246-FEC-23</t>
  </si>
  <si>
    <t>247-FEC-23</t>
  </si>
  <si>
    <t>248-FEC-23</t>
  </si>
  <si>
    <t>249-FEC-23</t>
  </si>
  <si>
    <t>250-FEC-23</t>
  </si>
  <si>
    <t>251-FEC-23</t>
  </si>
  <si>
    <t>1127-Chem-18</t>
  </si>
  <si>
    <t>1100-FEF-13</t>
  </si>
  <si>
    <t>3584-GUMP-21</t>
  </si>
  <si>
    <t>174-TG/CS-09</t>
  </si>
  <si>
    <t xml:space="preserve">Degree: B.Ed. (1.5) </t>
  </si>
  <si>
    <t>College: Falcon Educational Complex, Tank, Pvt. Affiliated College, Gomal University</t>
  </si>
  <si>
    <t>GRADE:</t>
  </si>
  <si>
    <t>registration_no</t>
  </si>
  <si>
    <t>program</t>
  </si>
  <si>
    <t>session</t>
  </si>
  <si>
    <t>semester</t>
  </si>
  <si>
    <t>course_code</t>
  </si>
  <si>
    <t>course_title</t>
  </si>
  <si>
    <t>sessional_marks</t>
  </si>
  <si>
    <t>midterm_marks</t>
  </si>
  <si>
    <t>terminal_marks</t>
  </si>
  <si>
    <t>maxmarks</t>
  </si>
  <si>
    <t>examtype</t>
  </si>
  <si>
    <t>Regular</t>
  </si>
  <si>
    <t>B.Ed 1.5</t>
  </si>
  <si>
    <t>Research Thesis/Viva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</si>
</sst>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;[Red]0.00"/>
    <numFmt numFmtId="165" formatCode="0;[Red]0"/>
    <numFmt numFmtId="166" formatCode="00.00\ &quot;%&quot;"/>
  </numFmts>
  <fonts count="10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8"/>
      <name val="Calibri"/>
      <family val="2"/>
    </font>
    <font>
      <sz val="10"/>
      <name val="Arial"/>
      <family val="2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5" tint="0.59999389629810485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5" tint="0.59999389629810485"/>
      <name val="Times New Roman"/>
      <family val="1"/>
    </font>
    <font>
      <sz val="9"/>
      <name val="Times New Roman"/>
      <family val="1"/>
    </font>
    <font>
      <sz val="26"/>
      <color theme="5" tint="-0.249977111117893"/>
      <name val="Calibri"/>
      <family val="2"/>
      <scheme val="minor"/>
    </font>
    <font>
      <sz val="36"/>
      <color theme="5" tint="-0.249977111117893"/>
      <name val="Calibri"/>
      <family val="2"/>
      <scheme val="minor"/>
    </font>
    <font>
      <b/>
      <sz val="10"/>
      <color indexed="8"/>
      <name val="Times New Roman"/>
      <family val="1"/>
    </font>
    <font>
      <i/>
      <sz val="8"/>
      <color theme="1"/>
      <name val="Times New Roman"/>
      <family val="1"/>
    </font>
    <font>
      <b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6"/>
      <color theme="1"/>
      <name val="Times New Roman"/>
      <family val="1"/>
    </font>
    <font>
      <b/>
      <sz val="22"/>
      <color theme="1"/>
      <name val="Times New Roman"/>
      <family val="1"/>
    </font>
    <font>
      <sz val="12"/>
      <name val="Times New Roman"/>
      <family val="1"/>
    </font>
    <font>
      <i/>
      <sz val="16"/>
      <color theme="1"/>
      <name val="Times New Roman"/>
      <family val="1"/>
    </font>
    <font>
      <b/>
      <i/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  <font>
      <sz val="14"/>
      <color rgb="FFFF0000"/>
      <name val="Arial"/>
      <family val="2"/>
    </font>
    <font>
      <i/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8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36"/>
      <color indexed="8"/>
      <name val="Tahoma"/>
      <family val="2"/>
    </font>
    <font>
      <sz val="11"/>
      <color indexed="8"/>
      <name val="Tahoma"/>
      <family val="2"/>
    </font>
    <font>
      <b/>
      <sz val="16"/>
      <color indexed="8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b/>
      <sz val="11"/>
      <name val="Tahoma"/>
      <family val="2"/>
    </font>
    <font>
      <b/>
      <sz val="12"/>
      <name val="Tahoma"/>
      <family val="2"/>
    </font>
    <font>
      <sz val="10"/>
      <color indexed="8"/>
      <name val="Tahoma"/>
      <family val="2"/>
    </font>
    <font>
      <sz val="12"/>
      <color theme="1"/>
      <name val="Tahoma"/>
      <family val="2"/>
    </font>
    <font>
      <sz val="12"/>
      <color indexed="8"/>
      <name val="Tahoma"/>
      <family val="2"/>
    </font>
    <font>
      <sz val="14"/>
      <color theme="1"/>
      <name val="Tahoma"/>
      <family val="2"/>
    </font>
    <font>
      <b/>
      <sz val="12"/>
      <color indexed="8"/>
      <name val="Tahoma"/>
      <family val="2"/>
    </font>
    <font>
      <b/>
      <sz val="10"/>
      <color indexed="8"/>
      <name val="Tahoma"/>
      <family val="2"/>
    </font>
    <font>
      <b/>
      <sz val="11"/>
      <color indexed="8"/>
      <name val="Tahoma"/>
      <family val="2"/>
    </font>
    <font>
      <b/>
      <sz val="18"/>
      <name val="Tahoma"/>
      <family val="2"/>
    </font>
    <font>
      <b/>
      <sz val="14"/>
      <name val="Tahoma"/>
      <family val="2"/>
    </font>
    <font>
      <b/>
      <u/>
      <sz val="18"/>
      <name val="Tahoma"/>
      <family val="2"/>
    </font>
    <font>
      <b/>
      <sz val="15"/>
      <color indexed="8"/>
      <name val="Tahoma"/>
      <family val="2"/>
    </font>
    <font>
      <sz val="14"/>
      <color indexed="8"/>
      <name val="Tahoma"/>
      <family val="2"/>
    </font>
    <font>
      <sz val="11"/>
      <color theme="1"/>
      <name val="Tahoma"/>
      <family val="2"/>
    </font>
    <font>
      <b/>
      <sz val="20"/>
      <color indexed="8"/>
      <name val="Tahoma"/>
      <family val="2"/>
    </font>
    <font>
      <b/>
      <sz val="12"/>
      <color theme="0"/>
      <name val="Tahoma"/>
      <family val="2"/>
    </font>
    <font>
      <b/>
      <sz val="12"/>
      <color theme="1"/>
      <name val="Tahoma"/>
      <family val="2"/>
    </font>
    <font>
      <b/>
      <sz val="18"/>
      <color theme="1"/>
      <name val="Tahoma"/>
      <family val="2"/>
    </font>
    <font>
      <sz val="11"/>
      <color rgb="FFFF0000"/>
      <name val="Tahoma"/>
      <family val="2"/>
    </font>
    <font>
      <sz val="26"/>
      <color theme="5" tint="-0.249977111117893"/>
      <name val="Tahoma"/>
      <family val="2"/>
    </font>
    <font>
      <sz val="11"/>
      <color theme="5" tint="0.59999389629810485"/>
      <name val="Tahoma"/>
      <family val="2"/>
    </font>
    <font>
      <b/>
      <sz val="16"/>
      <color theme="1"/>
      <name val="Tahoma"/>
      <family val="2"/>
    </font>
    <font>
      <sz val="36"/>
      <color theme="5" tint="-0.249977111117893"/>
      <name val="Tahoma"/>
      <family val="2"/>
    </font>
    <font>
      <sz val="12"/>
      <color theme="5" tint="0.59999389629810485"/>
      <name val="Tahoma"/>
      <family val="2"/>
    </font>
    <font>
      <b/>
      <u/>
      <sz val="12"/>
      <name val="Tahoma"/>
      <family val="2"/>
    </font>
    <font>
      <sz val="9"/>
      <color theme="1"/>
      <name val="Tahoma"/>
      <family val="2"/>
    </font>
    <font>
      <sz val="10"/>
      <name val="Tahoma"/>
      <family val="2"/>
    </font>
    <font>
      <sz val="11"/>
      <color theme="0"/>
      <name val="Tahoma"/>
      <family val="2"/>
    </font>
    <font>
      <sz val="16"/>
      <color rgb="FFFF0000"/>
      <name val="Tahoma"/>
      <family val="2"/>
    </font>
    <font>
      <sz val="16"/>
      <color theme="5" tint="0.59999389629810485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10"/>
      <color theme="5" tint="0.59999389629810485"/>
      <name val="Tahoma"/>
      <family val="2"/>
    </font>
    <font>
      <sz val="10"/>
      <color theme="1"/>
      <name val="Tahoma"/>
      <family val="2"/>
    </font>
    <font>
      <i/>
      <sz val="12"/>
      <color theme="1"/>
      <name val="Tahoma"/>
      <family val="2"/>
    </font>
    <font>
      <b/>
      <sz val="11"/>
      <color theme="1"/>
      <name val="Tahoma"/>
      <family val="2"/>
    </font>
    <font>
      <b/>
      <sz val="14"/>
      <color theme="1"/>
      <name val="Tahoma"/>
      <family val="2"/>
    </font>
    <font>
      <b/>
      <sz val="13"/>
      <name val="Tahoma"/>
      <family val="2"/>
    </font>
    <font>
      <b/>
      <sz val="13"/>
      <color theme="1"/>
      <name val="Tahoma"/>
      <family val="2"/>
    </font>
    <font>
      <sz val="13"/>
      <color theme="1"/>
      <name val="Tahoma"/>
      <family val="2"/>
    </font>
    <font>
      <b/>
      <sz val="13"/>
      <color theme="0"/>
      <name val="Tahoma"/>
      <family val="2"/>
    </font>
    <font>
      <sz val="13"/>
      <color theme="5" tint="0.59999389629810485"/>
      <name val="Tahoma"/>
      <family val="2"/>
    </font>
    <font>
      <sz val="14"/>
      <color theme="5" tint="0.59999389629810485"/>
      <name val="Tahoma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6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19" borderId="0" applyNumberFormat="0" applyBorder="0" applyAlignment="0" applyProtection="0"/>
    <xf numFmtId="0" fontId="8" fillId="8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14" applyNumberFormat="0" applyAlignment="0" applyProtection="0"/>
    <xf numFmtId="0" fontId="11" fillId="28" borderId="15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16" applyNumberFormat="0" applyFill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6" fillId="0" borderId="0" applyNumberFormat="0" applyFill="0" applyBorder="0" applyAlignment="0" applyProtection="0"/>
    <xf numFmtId="0" fontId="17" fillId="30" borderId="14" applyNumberFormat="0" applyAlignment="0" applyProtection="0"/>
    <xf numFmtId="0" fontId="18" fillId="0" borderId="19" applyNumberFormat="0" applyFill="0" applyAlignment="0" applyProtection="0"/>
    <xf numFmtId="0" fontId="19" fillId="31" borderId="0" applyNumberFormat="0" applyBorder="0" applyAlignment="0" applyProtection="0"/>
    <xf numFmtId="0" fontId="2" fillId="32" borderId="20" applyNumberFormat="0" applyFont="0" applyAlignment="0" applyProtection="0"/>
    <xf numFmtId="0" fontId="20" fillId="27" borderId="21" applyNumberFormat="0" applyAlignment="0" applyProtection="0"/>
    <xf numFmtId="0" fontId="21" fillId="0" borderId="0" applyNumberFormat="0" applyFill="0" applyBorder="0" applyAlignment="0" applyProtection="0"/>
    <xf numFmtId="0" fontId="22" fillId="0" borderId="22" applyNumberFormat="0" applyFill="0" applyAlignment="0" applyProtection="0"/>
    <xf numFmtId="0" fontId="23" fillId="0" borderId="0" applyNumberFormat="0" applyFill="0" applyBorder="0" applyAlignment="0" applyProtection="0"/>
    <xf numFmtId="0" fontId="5" fillId="0" borderId="0"/>
  </cellStyleXfs>
  <cellXfs count="401">
    <xf numFmtId="0" fontId="0" fillId="0" borderId="0" xfId="0"/>
    <xf numFmtId="0" fontId="24" fillId="0" borderId="0" xfId="0" applyFont="1" applyAlignment="1">
      <alignment vertical="center" wrapText="1"/>
    </xf>
    <xf numFmtId="0" fontId="30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6" fillId="0" borderId="0" xfId="0" applyFont="1"/>
    <xf numFmtId="0" fontId="28" fillId="0" borderId="0" xfId="0" applyFont="1"/>
    <xf numFmtId="0" fontId="28" fillId="0" borderId="0" xfId="0" applyFont="1" applyAlignment="1">
      <alignment horizontal="center" vertical="center"/>
    </xf>
    <xf numFmtId="0" fontId="31" fillId="0" borderId="0" xfId="0" applyFont="1" applyAlignment="1">
      <alignment horizontal="left"/>
    </xf>
    <xf numFmtId="0" fontId="32" fillId="0" borderId="10" xfId="0" applyFont="1" applyBorder="1"/>
    <xf numFmtId="0" fontId="32" fillId="0" borderId="4" xfId="0" applyFont="1" applyBorder="1" applyAlignment="1">
      <alignment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4" xfId="0" applyFont="1" applyBorder="1"/>
    <xf numFmtId="0" fontId="32" fillId="0" borderId="5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/>
    </xf>
    <xf numFmtId="0" fontId="0" fillId="0" borderId="4" xfId="0" applyBorder="1"/>
    <xf numFmtId="0" fontId="30" fillId="0" borderId="5" xfId="0" applyFont="1" applyBorder="1" applyAlignment="1">
      <alignment horizontal="center"/>
    </xf>
    <xf numFmtId="0" fontId="35" fillId="0" borderId="24" xfId="0" applyFont="1" applyBorder="1" applyAlignment="1">
      <alignment horizontal="center" vertical="center" wrapText="1"/>
    </xf>
    <xf numFmtId="2" fontId="35" fillId="0" borderId="24" xfId="0" applyNumberFormat="1" applyFont="1" applyBorder="1" applyAlignment="1">
      <alignment horizontal="center" vertical="center" wrapText="1"/>
    </xf>
    <xf numFmtId="164" fontId="35" fillId="0" borderId="24" xfId="0" applyNumberFormat="1" applyFont="1" applyBorder="1" applyAlignment="1">
      <alignment horizontal="center" vertical="center" wrapText="1"/>
    </xf>
    <xf numFmtId="164" fontId="35" fillId="0" borderId="25" xfId="0" applyNumberFormat="1" applyFont="1" applyBorder="1" applyAlignment="1">
      <alignment horizontal="center"/>
    </xf>
    <xf numFmtId="0" fontId="35" fillId="0" borderId="26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35" fillId="0" borderId="0" xfId="0" applyFont="1" applyAlignment="1">
      <alignment horizontal="center" vertical="center" wrapText="1"/>
    </xf>
    <xf numFmtId="2" fontId="35" fillId="0" borderId="0" xfId="0" applyNumberFormat="1" applyFont="1" applyAlignment="1">
      <alignment horizontal="center" vertical="center" wrapText="1"/>
    </xf>
    <xf numFmtId="164" fontId="35" fillId="0" borderId="0" xfId="0" applyNumberFormat="1" applyFont="1" applyAlignment="1">
      <alignment horizontal="center" vertical="center" wrapText="1"/>
    </xf>
    <xf numFmtId="164" fontId="35" fillId="0" borderId="27" xfId="0" applyNumberFormat="1" applyFont="1" applyBorder="1" applyAlignment="1">
      <alignment horizontal="center"/>
    </xf>
    <xf numFmtId="0" fontId="32" fillId="9" borderId="11" xfId="0" applyFont="1" applyFill="1" applyBorder="1" applyAlignment="1">
      <alignment horizontal="left" vertical="center"/>
    </xf>
    <xf numFmtId="0" fontId="32" fillId="9" borderId="24" xfId="0" applyFont="1" applyFill="1" applyBorder="1" applyAlignment="1">
      <alignment horizontal="left" vertical="center"/>
    </xf>
    <xf numFmtId="0" fontId="25" fillId="0" borderId="24" xfId="0" applyFont="1" applyBorder="1" applyAlignment="1">
      <alignment horizontal="center" vertical="center" wrapText="1"/>
    </xf>
    <xf numFmtId="2" fontId="25" fillId="0" borderId="24" xfId="0" applyNumberFormat="1" applyFont="1" applyBorder="1" applyAlignment="1">
      <alignment horizontal="center" vertical="center" wrapText="1"/>
    </xf>
    <xf numFmtId="0" fontId="24" fillId="0" borderId="25" xfId="0" applyFont="1" applyBorder="1"/>
    <xf numFmtId="0" fontId="25" fillId="0" borderId="13" xfId="0" applyFont="1" applyBorder="1"/>
    <xf numFmtId="0" fontId="25" fillId="0" borderId="6" xfId="0" applyFont="1" applyBorder="1" applyAlignment="1">
      <alignment horizontal="left"/>
    </xf>
    <xf numFmtId="0" fontId="36" fillId="0" borderId="6" xfId="0" applyFont="1" applyBorder="1" applyAlignment="1">
      <alignment horizontal="center" vertical="center" wrapText="1"/>
    </xf>
    <xf numFmtId="164" fontId="36" fillId="0" borderId="6" xfId="0" applyNumberFormat="1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/>
    </xf>
    <xf numFmtId="164" fontId="25" fillId="0" borderId="6" xfId="0" applyNumberFormat="1" applyFont="1" applyBorder="1" applyAlignment="1">
      <alignment horizontal="center"/>
    </xf>
    <xf numFmtId="0" fontId="37" fillId="0" borderId="7" xfId="0" applyFont="1" applyBorder="1" applyAlignment="1">
      <alignment horizontal="center"/>
    </xf>
    <xf numFmtId="0" fontId="33" fillId="0" borderId="6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/>
    </xf>
    <xf numFmtId="0" fontId="0" fillId="0" borderId="6" xfId="0" applyBorder="1"/>
    <xf numFmtId="0" fontId="30" fillId="0" borderId="7" xfId="0" applyFont="1" applyBorder="1" applyAlignment="1">
      <alignment horizontal="center"/>
    </xf>
    <xf numFmtId="0" fontId="33" fillId="0" borderId="4" xfId="0" applyFont="1" applyBorder="1" applyAlignment="1">
      <alignment vertical="center" wrapText="1"/>
    </xf>
    <xf numFmtId="0" fontId="38" fillId="0" borderId="4" xfId="0" applyFont="1" applyBorder="1" applyAlignment="1">
      <alignment horizontal="center"/>
    </xf>
    <xf numFmtId="164" fontId="35" fillId="0" borderId="25" xfId="0" applyNumberFormat="1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2" fontId="35" fillId="0" borderId="0" xfId="0" applyNumberFormat="1" applyFont="1" applyAlignment="1">
      <alignment horizontal="center"/>
    </xf>
    <xf numFmtId="164" fontId="35" fillId="0" borderId="0" xfId="0" applyNumberFormat="1" applyFont="1" applyAlignment="1">
      <alignment horizontal="center"/>
    </xf>
    <xf numFmtId="164" fontId="33" fillId="0" borderId="4" xfId="0" applyNumberFormat="1" applyFont="1" applyBorder="1" applyAlignment="1">
      <alignment horizontal="center" vertical="center" wrapText="1"/>
    </xf>
    <xf numFmtId="2" fontId="23" fillId="35" borderId="0" xfId="0" applyNumberFormat="1" applyFont="1" applyFill="1" applyAlignment="1">
      <alignment horizontal="center" vertical="center"/>
    </xf>
    <xf numFmtId="0" fontId="23" fillId="35" borderId="0" xfId="0" applyFont="1" applyFill="1" applyAlignment="1">
      <alignment horizontal="center" vertical="center"/>
    </xf>
    <xf numFmtId="0" fontId="25" fillId="0" borderId="24" xfId="0" applyFont="1" applyBorder="1" applyAlignment="1">
      <alignment vertical="center" wrapText="1"/>
    </xf>
    <xf numFmtId="0" fontId="25" fillId="0" borderId="0" xfId="0" applyFont="1"/>
    <xf numFmtId="0" fontId="25" fillId="0" borderId="0" xfId="0" applyFont="1" applyAlignment="1">
      <alignment horizontal="left"/>
    </xf>
    <xf numFmtId="0" fontId="25" fillId="0" borderId="0" xfId="0" applyFont="1" applyAlignment="1">
      <alignment horizontal="center" vertical="center" wrapText="1"/>
    </xf>
    <xf numFmtId="164" fontId="25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/>
    </xf>
    <xf numFmtId="164" fontId="25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0" fontId="25" fillId="0" borderId="28" xfId="0" applyFont="1" applyBorder="1"/>
    <xf numFmtId="2" fontId="25" fillId="0" borderId="30" xfId="0" applyNumberFormat="1" applyFont="1" applyBorder="1" applyAlignment="1">
      <alignment horizontal="center" vertical="center"/>
    </xf>
    <xf numFmtId="0" fontId="25" fillId="0" borderId="31" xfId="0" applyFont="1" applyBorder="1"/>
    <xf numFmtId="0" fontId="41" fillId="9" borderId="32" xfId="0" applyFont="1" applyFill="1" applyBorder="1" applyAlignment="1">
      <alignment horizontal="center" vertical="center"/>
    </xf>
    <xf numFmtId="0" fontId="41" fillId="9" borderId="0" xfId="0" applyFont="1" applyFill="1" applyAlignment="1">
      <alignment vertical="center"/>
    </xf>
    <xf numFmtId="0" fontId="25" fillId="0" borderId="31" xfId="0" applyFont="1" applyBorder="1" applyAlignment="1">
      <alignment vertical="center" wrapText="1"/>
    </xf>
    <xf numFmtId="0" fontId="41" fillId="9" borderId="32" xfId="0" applyFont="1" applyFill="1" applyBorder="1" applyAlignment="1">
      <alignment horizontal="center" vertical="center" wrapText="1"/>
    </xf>
    <xf numFmtId="0" fontId="41" fillId="9" borderId="0" xfId="0" applyFont="1" applyFill="1" applyAlignment="1">
      <alignment vertical="center" wrapText="1"/>
    </xf>
    <xf numFmtId="0" fontId="25" fillId="0" borderId="33" xfId="0" applyFont="1" applyBorder="1"/>
    <xf numFmtId="0" fontId="25" fillId="0" borderId="35" xfId="0" applyFont="1" applyBorder="1" applyAlignment="1">
      <alignment horizontal="center"/>
    </xf>
    <xf numFmtId="165" fontId="25" fillId="0" borderId="0" xfId="0" applyNumberFormat="1" applyFont="1" applyAlignment="1">
      <alignment horizontal="center"/>
    </xf>
    <xf numFmtId="0" fontId="24" fillId="0" borderId="0" xfId="0" applyFont="1"/>
    <xf numFmtId="0" fontId="31" fillId="0" borderId="0" xfId="0" applyFont="1" applyAlignment="1">
      <alignment horizontal="left" vertical="top" indent="2"/>
    </xf>
    <xf numFmtId="0" fontId="42" fillId="0" borderId="0" xfId="0" applyFont="1"/>
    <xf numFmtId="0" fontId="31" fillId="0" borderId="0" xfId="0" applyFont="1" applyAlignment="1">
      <alignment horizontal="left" vertical="top"/>
    </xf>
    <xf numFmtId="0" fontId="28" fillId="0" borderId="0" xfId="0" applyFont="1" applyAlignment="1">
      <alignment horizontal="left" indent="8"/>
    </xf>
    <xf numFmtId="0" fontId="6" fillId="0" borderId="0" xfId="0" applyFont="1" applyAlignment="1">
      <alignment horizontal="left" indent="8"/>
    </xf>
    <xf numFmtId="164" fontId="25" fillId="0" borderId="6" xfId="0" applyNumberFormat="1" applyFont="1" applyBorder="1" applyAlignment="1">
      <alignment horizontal="left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/>
    </xf>
    <xf numFmtId="0" fontId="48" fillId="0" borderId="0" xfId="0" applyFont="1"/>
    <xf numFmtId="0" fontId="43" fillId="0" borderId="0" xfId="0" applyFont="1"/>
    <xf numFmtId="0" fontId="43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/>
    <xf numFmtId="2" fontId="8" fillId="0" borderId="0" xfId="0" applyNumberFormat="1" applyFont="1"/>
    <xf numFmtId="0" fontId="29" fillId="0" borderId="28" xfId="0" applyFont="1" applyBorder="1" applyAlignment="1">
      <alignment horizontal="justify" vertical="center" wrapText="1"/>
    </xf>
    <xf numFmtId="2" fontId="3" fillId="0" borderId="3" xfId="0" applyNumberFormat="1" applyFont="1" applyBorder="1"/>
    <xf numFmtId="2" fontId="51" fillId="35" borderId="0" xfId="0" applyNumberFormat="1" applyFont="1" applyFill="1" applyAlignment="1">
      <alignment horizontal="center" vertical="center"/>
    </xf>
    <xf numFmtId="0" fontId="29" fillId="0" borderId="31" xfId="0" applyFont="1" applyBorder="1" applyAlignment="1">
      <alignment horizontal="justify" vertical="center" wrapText="1"/>
    </xf>
    <xf numFmtId="0" fontId="3" fillId="0" borderId="0" xfId="0" applyFont="1" applyAlignment="1">
      <alignment horizontal="center"/>
    </xf>
    <xf numFmtId="0" fontId="29" fillId="0" borderId="33" xfId="0" applyFont="1" applyBorder="1" applyAlignment="1">
      <alignment horizontal="justify" vertical="center" wrapText="1"/>
    </xf>
    <xf numFmtId="0" fontId="25" fillId="36" borderId="42" xfId="0" applyFont="1" applyFill="1" applyBorder="1" applyAlignment="1">
      <alignment horizontal="center" vertical="center" wrapText="1"/>
    </xf>
    <xf numFmtId="0" fontId="25" fillId="36" borderId="55" xfId="0" applyFont="1" applyFill="1" applyBorder="1" applyAlignment="1">
      <alignment horizontal="center" vertical="center" wrapText="1"/>
    </xf>
    <xf numFmtId="0" fontId="53" fillId="0" borderId="28" xfId="0" applyFont="1" applyBorder="1" applyAlignment="1">
      <alignment horizontal="left" vertical="center" wrapText="1"/>
    </xf>
    <xf numFmtId="0" fontId="53" fillId="0" borderId="33" xfId="0" applyFont="1" applyBorder="1" applyAlignment="1">
      <alignment horizontal="left" vertical="center" wrapText="1"/>
    </xf>
    <xf numFmtId="0" fontId="53" fillId="0" borderId="31" xfId="0" applyFont="1" applyBorder="1" applyAlignment="1">
      <alignment horizontal="left" vertical="center" wrapText="1"/>
    </xf>
    <xf numFmtId="0" fontId="29" fillId="0" borderId="56" xfId="0" applyFont="1" applyBorder="1" applyAlignment="1">
      <alignment horizontal="justify" vertical="center" wrapText="1"/>
    </xf>
    <xf numFmtId="0" fontId="54" fillId="0" borderId="0" xfId="0" applyFont="1"/>
    <xf numFmtId="0" fontId="54" fillId="0" borderId="0" xfId="0" applyFont="1" applyAlignment="1">
      <alignment vertical="center"/>
    </xf>
    <xf numFmtId="0" fontId="53" fillId="0" borderId="29" xfId="0" applyFont="1" applyBorder="1" applyAlignment="1">
      <alignment horizontal="center" vertical="center" wrapText="1"/>
    </xf>
    <xf numFmtId="2" fontId="53" fillId="0" borderId="29" xfId="0" applyNumberFormat="1" applyFont="1" applyBorder="1" applyAlignment="1">
      <alignment horizontal="center" vertical="center" wrapText="1"/>
    </xf>
    <xf numFmtId="2" fontId="53" fillId="0" borderId="30" xfId="0" applyNumberFormat="1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2" fontId="53" fillId="0" borderId="3" xfId="0" applyNumberFormat="1" applyFont="1" applyBorder="1" applyAlignment="1">
      <alignment horizontal="center" vertical="center" wrapText="1"/>
    </xf>
    <xf numFmtId="2" fontId="53" fillId="0" borderId="32" xfId="0" applyNumberFormat="1" applyFont="1" applyBorder="1" applyAlignment="1">
      <alignment horizontal="center" vertical="center" wrapText="1"/>
    </xf>
    <xf numFmtId="0" fontId="53" fillId="0" borderId="34" xfId="0" applyFont="1" applyBorder="1" applyAlignment="1">
      <alignment horizontal="center" vertical="center" wrapText="1"/>
    </xf>
    <xf numFmtId="2" fontId="53" fillId="0" borderId="34" xfId="0" applyNumberFormat="1" applyFont="1" applyBorder="1" applyAlignment="1">
      <alignment horizontal="center" vertical="center" wrapText="1"/>
    </xf>
    <xf numFmtId="2" fontId="53" fillId="0" borderId="35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2" fontId="53" fillId="0" borderId="2" xfId="0" applyNumberFormat="1" applyFont="1" applyBorder="1" applyAlignment="1">
      <alignment horizontal="center" vertical="center" wrapText="1"/>
    </xf>
    <xf numFmtId="2" fontId="53" fillId="0" borderId="44" xfId="0" applyNumberFormat="1" applyFont="1" applyBorder="1" applyAlignment="1">
      <alignment horizontal="center" vertical="center" wrapText="1"/>
    </xf>
    <xf numFmtId="2" fontId="53" fillId="0" borderId="58" xfId="0" applyNumberFormat="1" applyFont="1" applyBorder="1" applyAlignment="1">
      <alignment horizontal="center" vertical="center" wrapText="1"/>
    </xf>
    <xf numFmtId="0" fontId="53" fillId="0" borderId="58" xfId="0" applyFont="1" applyBorder="1" applyAlignment="1">
      <alignment horizontal="center" vertical="center" wrapText="1"/>
    </xf>
    <xf numFmtId="2" fontId="53" fillId="0" borderId="55" xfId="0" applyNumberFormat="1" applyFont="1" applyBorder="1" applyAlignment="1">
      <alignment horizontal="center" vertical="center" wrapText="1"/>
    </xf>
    <xf numFmtId="0" fontId="58" fillId="9" borderId="0" xfId="0" applyFont="1" applyFill="1"/>
    <xf numFmtId="0" fontId="59" fillId="9" borderId="0" xfId="0" applyFont="1" applyFill="1" applyAlignment="1">
      <alignment horizontal="left"/>
    </xf>
    <xf numFmtId="0" fontId="59" fillId="9" borderId="0" xfId="0" applyFont="1" applyFill="1" applyAlignment="1">
      <alignment horizontal="center"/>
    </xf>
    <xf numFmtId="0" fontId="59" fillId="9" borderId="0" xfId="0" applyFont="1" applyFill="1"/>
    <xf numFmtId="14" fontId="59" fillId="9" borderId="0" xfId="0" applyNumberFormat="1" applyFont="1" applyFill="1" applyAlignment="1">
      <alignment horizontal="left"/>
    </xf>
    <xf numFmtId="0" fontId="59" fillId="9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61" fillId="0" borderId="0" xfId="0" applyFont="1"/>
    <xf numFmtId="0" fontId="62" fillId="0" borderId="0" xfId="0" applyFont="1"/>
    <xf numFmtId="0" fontId="60" fillId="0" borderId="0" xfId="0" applyFont="1" applyAlignment="1">
      <alignment horizontal="left" vertical="center"/>
    </xf>
    <xf numFmtId="0" fontId="61" fillId="0" borderId="0" xfId="0" applyFont="1" applyAlignment="1">
      <alignment horizontal="center"/>
    </xf>
    <xf numFmtId="0" fontId="63" fillId="37" borderId="1" xfId="0" applyFont="1" applyFill="1" applyBorder="1" applyAlignment="1">
      <alignment horizontal="center" vertical="center" wrapText="1"/>
    </xf>
    <xf numFmtId="0" fontId="63" fillId="37" borderId="1" xfId="0" applyFont="1" applyFill="1" applyBorder="1" applyAlignment="1">
      <alignment horizontal="left" vertical="center" wrapText="1"/>
    </xf>
    <xf numFmtId="0" fontId="63" fillId="37" borderId="59" xfId="0" applyFont="1" applyFill="1" applyBorder="1" applyAlignment="1">
      <alignment horizontal="center" vertical="center" wrapText="1"/>
    </xf>
    <xf numFmtId="0" fontId="64" fillId="9" borderId="0" xfId="0" applyFont="1" applyFill="1" applyAlignment="1">
      <alignment vertical="center" wrapText="1"/>
    </xf>
    <xf numFmtId="0" fontId="65" fillId="0" borderId="3" xfId="0" applyFont="1" applyBorder="1" applyAlignment="1">
      <alignment vertical="center" wrapText="1"/>
    </xf>
    <xf numFmtId="0" fontId="58" fillId="9" borderId="0" xfId="0" applyFont="1" applyFill="1" applyAlignment="1">
      <alignment wrapText="1"/>
    </xf>
    <xf numFmtId="0" fontId="66" fillId="33" borderId="2" xfId="0" applyFont="1" applyFill="1" applyBorder="1" applyAlignment="1">
      <alignment horizontal="center" vertical="center"/>
    </xf>
    <xf numFmtId="0" fontId="65" fillId="33" borderId="2" xfId="0" applyFont="1" applyFill="1" applyBorder="1" applyAlignment="1">
      <alignment vertical="center" wrapText="1"/>
    </xf>
    <xf numFmtId="0" fontId="67" fillId="33" borderId="2" xfId="0" applyFont="1" applyFill="1" applyBorder="1" applyAlignment="1">
      <alignment horizontal="center" vertical="center" wrapText="1"/>
    </xf>
    <xf numFmtId="2" fontId="66" fillId="33" borderId="2" xfId="0" applyNumberFormat="1" applyFont="1" applyFill="1" applyBorder="1" applyAlignment="1">
      <alignment horizontal="center" vertical="center"/>
    </xf>
    <xf numFmtId="0" fontId="65" fillId="33" borderId="2" xfId="0" applyFont="1" applyFill="1" applyBorder="1" applyAlignment="1">
      <alignment horizontal="center" vertical="center"/>
    </xf>
    <xf numFmtId="0" fontId="66" fillId="33" borderId="3" xfId="0" applyFont="1" applyFill="1" applyBorder="1" applyAlignment="1">
      <alignment vertical="center" wrapText="1"/>
    </xf>
    <xf numFmtId="0" fontId="66" fillId="9" borderId="0" xfId="0" applyFont="1" applyFill="1" applyAlignment="1">
      <alignment vertical="center"/>
    </xf>
    <xf numFmtId="0" fontId="61" fillId="0" borderId="0" xfId="0" applyFont="1" applyAlignment="1">
      <alignment wrapText="1"/>
    </xf>
    <xf numFmtId="0" fontId="66" fillId="33" borderId="3" xfId="0" applyFont="1" applyFill="1" applyBorder="1" applyAlignment="1">
      <alignment horizontal="center" vertical="center"/>
    </xf>
    <xf numFmtId="0" fontId="65" fillId="33" borderId="3" xfId="0" applyFont="1" applyFill="1" applyBorder="1" applyAlignment="1">
      <alignment vertical="center" wrapText="1"/>
    </xf>
    <xf numFmtId="0" fontId="65" fillId="33" borderId="3" xfId="0" applyFont="1" applyFill="1" applyBorder="1" applyAlignment="1">
      <alignment horizontal="center" vertical="center"/>
    </xf>
    <xf numFmtId="0" fontId="68" fillId="9" borderId="0" xfId="0" applyFont="1" applyFill="1"/>
    <xf numFmtId="0" fontId="68" fillId="33" borderId="23" xfId="0" applyFont="1" applyFill="1" applyBorder="1" applyAlignment="1">
      <alignment horizontal="left" vertical="center"/>
    </xf>
    <xf numFmtId="0" fontId="58" fillId="9" borderId="0" xfId="0" applyFont="1" applyFill="1" applyAlignment="1">
      <alignment horizontal="center"/>
    </xf>
    <xf numFmtId="0" fontId="58" fillId="9" borderId="0" xfId="0" applyFont="1" applyFill="1" applyAlignment="1">
      <alignment horizontal="left"/>
    </xf>
    <xf numFmtId="0" fontId="69" fillId="9" borderId="0" xfId="0" applyFont="1" applyFill="1"/>
    <xf numFmtId="0" fontId="70" fillId="9" borderId="0" xfId="0" applyFont="1" applyFill="1"/>
    <xf numFmtId="0" fontId="72" fillId="0" borderId="0" xfId="0" applyFont="1"/>
    <xf numFmtId="0" fontId="64" fillId="0" borderId="0" xfId="0" applyFont="1"/>
    <xf numFmtId="0" fontId="63" fillId="0" borderId="0" xfId="0" applyFont="1"/>
    <xf numFmtId="0" fontId="68" fillId="0" borderId="37" xfId="0" applyFont="1" applyBorder="1" applyAlignment="1">
      <alignment horizontal="left"/>
    </xf>
    <xf numFmtId="0" fontId="70" fillId="0" borderId="37" xfId="0" applyFont="1" applyBorder="1"/>
    <xf numFmtId="0" fontId="69" fillId="0" borderId="0" xfId="0" applyFont="1" applyAlignment="1">
      <alignment horizontal="center"/>
    </xf>
    <xf numFmtId="0" fontId="69" fillId="0" borderId="3" xfId="0" applyFont="1" applyBorder="1" applyAlignment="1">
      <alignment horizontal="center" vertical="center" wrapText="1"/>
    </xf>
    <xf numFmtId="0" fontId="64" fillId="0" borderId="3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/>
    </xf>
    <xf numFmtId="2" fontId="64" fillId="0" borderId="3" xfId="0" applyNumberFormat="1" applyFont="1" applyBorder="1" applyAlignment="1">
      <alignment horizontal="center"/>
    </xf>
    <xf numFmtId="0" fontId="69" fillId="0" borderId="0" xfId="0" applyFont="1"/>
    <xf numFmtId="2" fontId="68" fillId="0" borderId="3" xfId="0" applyNumberFormat="1" applyFont="1" applyBorder="1"/>
    <xf numFmtId="0" fontId="64" fillId="0" borderId="0" xfId="0" applyFont="1" applyAlignment="1">
      <alignment horizontal="center"/>
    </xf>
    <xf numFmtId="2" fontId="69" fillId="0" borderId="0" xfId="0" applyNumberFormat="1" applyFont="1"/>
    <xf numFmtId="0" fontId="66" fillId="0" borderId="0" xfId="0" applyFont="1"/>
    <xf numFmtId="0" fontId="66" fillId="0" borderId="0" xfId="0" applyFont="1" applyAlignment="1">
      <alignment horizontal="right"/>
    </xf>
    <xf numFmtId="2" fontId="75" fillId="0" borderId="3" xfId="0" applyNumberFormat="1" applyFont="1" applyBorder="1" applyAlignment="1">
      <alignment horizontal="center" wrapText="1"/>
    </xf>
    <xf numFmtId="2" fontId="64" fillId="0" borderId="0" xfId="0" applyNumberFormat="1" applyFont="1" applyAlignment="1">
      <alignment horizontal="center"/>
    </xf>
    <xf numFmtId="2" fontId="68" fillId="0" borderId="3" xfId="0" applyNumberFormat="1" applyFont="1" applyBorder="1" applyAlignment="1">
      <alignment horizontal="right"/>
    </xf>
    <xf numFmtId="0" fontId="67" fillId="0" borderId="3" xfId="0" applyFont="1" applyBorder="1" applyAlignment="1">
      <alignment horizontal="center" wrapText="1"/>
    </xf>
    <xf numFmtId="0" fontId="76" fillId="0" borderId="0" xfId="0" applyFont="1" applyAlignment="1">
      <alignment horizontal="center"/>
    </xf>
    <xf numFmtId="0" fontId="66" fillId="0" borderId="0" xfId="0" applyFont="1" applyAlignment="1">
      <alignment horizontal="right" vertical="center"/>
    </xf>
    <xf numFmtId="0" fontId="67" fillId="0" borderId="3" xfId="0" applyFont="1" applyBorder="1" applyAlignment="1">
      <alignment horizontal="center" vertical="center" wrapText="1"/>
    </xf>
    <xf numFmtId="0" fontId="76" fillId="0" borderId="0" xfId="0" applyFont="1"/>
    <xf numFmtId="2" fontId="69" fillId="0" borderId="0" xfId="0" applyNumberFormat="1" applyFont="1" applyAlignment="1">
      <alignment horizontal="center"/>
    </xf>
    <xf numFmtId="0" fontId="64" fillId="0" borderId="3" xfId="0" applyFont="1" applyBorder="1" applyAlignment="1">
      <alignment horizontal="right"/>
    </xf>
    <xf numFmtId="0" fontId="64" fillId="0" borderId="3" xfId="0" applyFont="1" applyBorder="1"/>
    <xf numFmtId="0" fontId="68" fillId="0" borderId="0" xfId="0" applyFont="1" applyAlignment="1">
      <alignment horizontal="left"/>
    </xf>
    <xf numFmtId="0" fontId="70" fillId="0" borderId="0" xfId="0" applyFont="1"/>
    <xf numFmtId="0" fontId="65" fillId="0" borderId="0" xfId="0" applyFont="1" applyAlignment="1">
      <alignment vertical="center" wrapText="1"/>
    </xf>
    <xf numFmtId="0" fontId="69" fillId="0" borderId="0" xfId="0" applyFont="1" applyAlignment="1">
      <alignment horizontal="center" vertical="center"/>
    </xf>
    <xf numFmtId="0" fontId="78" fillId="38" borderId="60" xfId="0" applyFont="1" applyFill="1" applyBorder="1" applyAlignment="1">
      <alignment vertical="center" wrapText="1"/>
    </xf>
    <xf numFmtId="2" fontId="67" fillId="33" borderId="2" xfId="0" applyNumberFormat="1" applyFont="1" applyFill="1" applyBorder="1" applyAlignment="1">
      <alignment horizontal="center" vertical="center" wrapText="1"/>
    </xf>
    <xf numFmtId="0" fontId="65" fillId="0" borderId="31" xfId="0" applyFont="1" applyBorder="1" applyAlignment="1">
      <alignment horizontal="center"/>
    </xf>
    <xf numFmtId="0" fontId="65" fillId="0" borderId="32" xfId="0" applyFont="1" applyBorder="1" applyAlignment="1">
      <alignment horizontal="center"/>
    </xf>
    <xf numFmtId="2" fontId="81" fillId="35" borderId="0" xfId="0" applyNumberFormat="1" applyFont="1" applyFill="1" applyAlignment="1">
      <alignment horizontal="center" vertical="center"/>
    </xf>
    <xf numFmtId="0" fontId="83" fillId="0" borderId="0" xfId="0" applyFont="1" applyAlignment="1">
      <alignment horizontal="center"/>
    </xf>
    <xf numFmtId="0" fontId="81" fillId="35" borderId="0" xfId="0" applyFont="1" applyFill="1" applyAlignment="1">
      <alignment horizontal="center" vertical="center"/>
    </xf>
    <xf numFmtId="0" fontId="79" fillId="0" borderId="0" xfId="0" applyFont="1" applyAlignment="1">
      <alignment vertical="center"/>
    </xf>
    <xf numFmtId="0" fontId="63" fillId="0" borderId="0" xfId="0" applyFont="1" applyAlignment="1">
      <alignment horizontal="left"/>
    </xf>
    <xf numFmtId="0" fontId="65" fillId="0" borderId="0" xfId="0" applyFont="1"/>
    <xf numFmtId="0" fontId="86" fillId="0" borderId="0" xfId="0" applyFont="1" applyAlignment="1">
      <alignment horizontal="center"/>
    </xf>
    <xf numFmtId="0" fontId="79" fillId="0" borderId="0" xfId="0" applyFont="1" applyAlignment="1">
      <alignment horizontal="left" vertical="center" indent="2"/>
    </xf>
    <xf numFmtId="0" fontId="79" fillId="0" borderId="0" xfId="0" applyFont="1"/>
    <xf numFmtId="0" fontId="79" fillId="0" borderId="0" xfId="0" applyFont="1" applyAlignment="1">
      <alignment horizontal="left" indent="13"/>
    </xf>
    <xf numFmtId="0" fontId="79" fillId="0" borderId="0" xfId="0" applyFont="1" applyAlignment="1">
      <alignment horizontal="left"/>
    </xf>
    <xf numFmtId="0" fontId="61" fillId="0" borderId="4" xfId="0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88" fillId="0" borderId="4" xfId="0" applyFont="1" applyBorder="1" applyAlignment="1">
      <alignment horizontal="center" vertical="center" wrapText="1"/>
    </xf>
    <xf numFmtId="0" fontId="89" fillId="0" borderId="4" xfId="0" applyFont="1" applyBorder="1" applyAlignment="1">
      <alignment horizontal="center"/>
    </xf>
    <xf numFmtId="0" fontId="76" fillId="0" borderId="4" xfId="0" applyFont="1" applyBorder="1"/>
    <xf numFmtId="0" fontId="83" fillId="0" borderId="5" xfId="0" applyFont="1" applyBorder="1" applyAlignment="1">
      <alignment horizontal="center"/>
    </xf>
    <xf numFmtId="0" fontId="90" fillId="0" borderId="0" xfId="0" applyFont="1" applyAlignment="1">
      <alignment horizontal="center"/>
    </xf>
    <xf numFmtId="0" fontId="76" fillId="0" borderId="0" xfId="0" applyFont="1" applyAlignment="1">
      <alignment horizontal="center" vertical="center" wrapText="1"/>
    </xf>
    <xf numFmtId="2" fontId="76" fillId="0" borderId="0" xfId="0" applyNumberFormat="1" applyFont="1" applyAlignment="1">
      <alignment horizontal="center" vertical="center" wrapText="1"/>
    </xf>
    <xf numFmtId="164" fontId="76" fillId="0" borderId="0" xfId="0" applyNumberFormat="1" applyFont="1" applyAlignment="1">
      <alignment horizontal="center" vertical="center" wrapText="1"/>
    </xf>
    <xf numFmtId="164" fontId="76" fillId="0" borderId="27" xfId="0" applyNumberFormat="1" applyFont="1" applyBorder="1" applyAlignment="1">
      <alignment horizontal="center"/>
    </xf>
    <xf numFmtId="2" fontId="91" fillId="35" borderId="0" xfId="0" applyNumberFormat="1" applyFont="1" applyFill="1" applyAlignment="1">
      <alignment horizontal="center"/>
    </xf>
    <xf numFmtId="0" fontId="92" fillId="0" borderId="0" xfId="0" applyFont="1" applyAlignment="1">
      <alignment horizontal="center"/>
    </xf>
    <xf numFmtId="0" fontId="88" fillId="0" borderId="6" xfId="0" applyFont="1" applyBorder="1" applyAlignment="1">
      <alignment horizontal="center" vertical="center" wrapText="1"/>
    </xf>
    <xf numFmtId="0" fontId="89" fillId="0" borderId="6" xfId="0" applyFont="1" applyBorder="1" applyAlignment="1">
      <alignment horizontal="center"/>
    </xf>
    <xf numFmtId="0" fontId="76" fillId="0" borderId="6" xfId="0" applyFont="1" applyBorder="1"/>
    <xf numFmtId="0" fontId="83" fillId="0" borderId="7" xfId="0" applyFont="1" applyBorder="1" applyAlignment="1">
      <alignment horizontal="center"/>
    </xf>
    <xf numFmtId="0" fontId="76" fillId="0" borderId="0" xfId="0" applyFont="1" applyAlignment="1">
      <alignment horizontal="left"/>
    </xf>
    <xf numFmtId="0" fontId="88" fillId="0" borderId="4" xfId="0" applyFont="1" applyBorder="1" applyAlignment="1">
      <alignment vertical="center" wrapText="1"/>
    </xf>
    <xf numFmtId="0" fontId="93" fillId="0" borderId="4" xfId="0" applyFont="1" applyBorder="1" applyAlignment="1">
      <alignment horizontal="center"/>
    </xf>
    <xf numFmtId="0" fontId="94" fillId="0" borderId="0" xfId="0" applyFont="1"/>
    <xf numFmtId="0" fontId="94" fillId="0" borderId="0" xfId="0" applyFont="1" applyAlignment="1">
      <alignment horizontal="left"/>
    </xf>
    <xf numFmtId="0" fontId="94" fillId="0" borderId="0" xfId="0" applyFont="1" applyAlignment="1">
      <alignment horizontal="center" vertical="center" wrapText="1"/>
    </xf>
    <xf numFmtId="164" fontId="94" fillId="0" borderId="0" xfId="0" applyNumberFormat="1" applyFont="1" applyAlignment="1">
      <alignment horizontal="center" vertical="center" wrapText="1"/>
    </xf>
    <xf numFmtId="0" fontId="94" fillId="0" borderId="0" xfId="0" applyFont="1" applyAlignment="1">
      <alignment horizontal="center"/>
    </xf>
    <xf numFmtId="164" fontId="94" fillId="0" borderId="0" xfId="0" applyNumberFormat="1" applyFont="1" applyAlignment="1">
      <alignment horizontal="center"/>
    </xf>
    <xf numFmtId="0" fontId="95" fillId="0" borderId="0" xfId="0" applyFont="1" applyAlignment="1">
      <alignment horizontal="center"/>
    </xf>
    <xf numFmtId="0" fontId="69" fillId="9" borderId="0" xfId="0" applyFont="1" applyFill="1" applyAlignment="1">
      <alignment vertical="center"/>
    </xf>
    <xf numFmtId="0" fontId="69" fillId="9" borderId="0" xfId="0" applyFont="1" applyFill="1" applyAlignment="1">
      <alignment vertical="center" wrapText="1"/>
    </xf>
    <xf numFmtId="0" fontId="96" fillId="0" borderId="0" xfId="0" applyFont="1" applyAlignment="1">
      <alignment vertical="center" wrapText="1"/>
    </xf>
    <xf numFmtId="0" fontId="96" fillId="0" borderId="0" xfId="0" applyFont="1"/>
    <xf numFmtId="0" fontId="97" fillId="0" borderId="0" xfId="0" applyFont="1" applyAlignment="1">
      <alignment vertical="top"/>
    </xf>
    <xf numFmtId="0" fontId="98" fillId="0" borderId="0" xfId="0" applyFont="1" applyAlignment="1">
      <alignment horizontal="left" vertical="top"/>
    </xf>
    <xf numFmtId="2" fontId="79" fillId="0" borderId="35" xfId="0" applyNumberFormat="1" applyFont="1" applyBorder="1" applyAlignment="1">
      <alignment horizontal="center"/>
    </xf>
    <xf numFmtId="2" fontId="79" fillId="0" borderId="33" xfId="0" applyNumberFormat="1" applyFont="1" applyBorder="1" applyAlignment="1">
      <alignment horizontal="center"/>
    </xf>
    <xf numFmtId="0" fontId="65" fillId="0" borderId="26" xfId="0" applyFont="1" applyBorder="1" applyAlignment="1">
      <alignment horizontal="left"/>
    </xf>
    <xf numFmtId="0" fontId="65" fillId="0" borderId="0" xfId="0" applyFont="1" applyAlignment="1">
      <alignment horizontal="left"/>
    </xf>
    <xf numFmtId="0" fontId="65" fillId="0" borderId="11" xfId="0" applyFont="1" applyBorder="1"/>
    <xf numFmtId="0" fontId="65" fillId="0" borderId="24" xfId="0" applyFont="1" applyBorder="1"/>
    <xf numFmtId="0" fontId="65" fillId="0" borderId="26" xfId="0" applyFont="1" applyBorder="1"/>
    <xf numFmtId="2" fontId="79" fillId="0" borderId="30" xfId="0" applyNumberFormat="1" applyFont="1" applyBorder="1" applyAlignment="1">
      <alignment horizontal="center" vertical="center" wrapText="1"/>
    </xf>
    <xf numFmtId="2" fontId="79" fillId="0" borderId="32" xfId="0" applyNumberFormat="1" applyFont="1" applyBorder="1" applyAlignment="1">
      <alignment horizontal="center" vertical="center" wrapText="1"/>
    </xf>
    <xf numFmtId="1" fontId="79" fillId="0" borderId="32" xfId="0" applyNumberFormat="1" applyFont="1" applyBorder="1" applyAlignment="1">
      <alignment horizontal="center" vertical="center" wrapText="1"/>
    </xf>
    <xf numFmtId="166" fontId="79" fillId="0" borderId="32" xfId="0" applyNumberFormat="1" applyFont="1" applyBorder="1" applyAlignment="1">
      <alignment horizontal="center" vertical="center" wrapText="1"/>
    </xf>
    <xf numFmtId="2" fontId="91" fillId="33" borderId="0" xfId="0" applyNumberFormat="1" applyFont="1" applyFill="1" applyAlignment="1">
      <alignment horizontal="center"/>
    </xf>
    <xf numFmtId="0" fontId="61" fillId="0" borderId="4" xfId="0" applyFont="1" applyBorder="1" applyAlignment="1">
      <alignment horizontal="center"/>
    </xf>
    <xf numFmtId="0" fontId="100" fillId="9" borderId="11" xfId="0" applyFont="1" applyFill="1" applyBorder="1" applyAlignment="1">
      <alignment horizontal="left" vertical="center"/>
    </xf>
    <xf numFmtId="0" fontId="100" fillId="9" borderId="24" xfId="0" applyFont="1" applyFill="1" applyBorder="1" applyAlignment="1">
      <alignment horizontal="left" vertical="center"/>
    </xf>
    <xf numFmtId="0" fontId="101" fillId="0" borderId="24" xfId="0" applyFont="1" applyBorder="1" applyAlignment="1">
      <alignment horizontal="center" vertical="center" wrapText="1"/>
    </xf>
    <xf numFmtId="2" fontId="101" fillId="0" borderId="24" xfId="0" applyNumberFormat="1" applyFont="1" applyBorder="1" applyAlignment="1">
      <alignment horizontal="center" vertical="center" wrapText="1"/>
    </xf>
    <xf numFmtId="0" fontId="102" fillId="0" borderId="25" xfId="0" applyFont="1" applyBorder="1"/>
    <xf numFmtId="0" fontId="101" fillId="0" borderId="13" xfId="0" applyFont="1" applyBorder="1"/>
    <xf numFmtId="0" fontId="101" fillId="0" borderId="6" xfId="0" applyFont="1" applyBorder="1" applyAlignment="1">
      <alignment horizontal="left"/>
    </xf>
    <xf numFmtId="0" fontId="103" fillId="0" borderId="6" xfId="0" applyFont="1" applyBorder="1" applyAlignment="1">
      <alignment horizontal="center" vertical="center" wrapText="1"/>
    </xf>
    <xf numFmtId="164" fontId="103" fillId="0" borderId="6" xfId="0" applyNumberFormat="1" applyFont="1" applyBorder="1" applyAlignment="1">
      <alignment horizontal="center" vertical="center" wrapText="1"/>
    </xf>
    <xf numFmtId="164" fontId="101" fillId="0" borderId="6" xfId="0" applyNumberFormat="1" applyFont="1" applyBorder="1" applyAlignment="1">
      <alignment horizontal="left"/>
    </xf>
    <xf numFmtId="0" fontId="104" fillId="0" borderId="7" xfId="0" applyFont="1" applyBorder="1" applyAlignment="1">
      <alignment horizontal="center"/>
    </xf>
    <xf numFmtId="0" fontId="101" fillId="0" borderId="6" xfId="0" applyFont="1" applyBorder="1" applyAlignment="1">
      <alignment horizontal="center"/>
    </xf>
    <xf numFmtId="0" fontId="67" fillId="0" borderId="24" xfId="0" applyFont="1" applyBorder="1" applyAlignment="1">
      <alignment horizontal="center" vertical="center" wrapText="1"/>
    </xf>
    <xf numFmtId="2" fontId="67" fillId="0" borderId="24" xfId="0" applyNumberFormat="1" applyFont="1" applyBorder="1" applyAlignment="1">
      <alignment horizontal="center" vertical="center" wrapText="1"/>
    </xf>
    <xf numFmtId="164" fontId="67" fillId="0" borderId="24" xfId="0" applyNumberFormat="1" applyFont="1" applyBorder="1" applyAlignment="1">
      <alignment horizontal="center" vertical="center" wrapText="1"/>
    </xf>
    <xf numFmtId="164" fontId="67" fillId="0" borderId="25" xfId="0" applyNumberFormat="1" applyFont="1" applyBorder="1" applyAlignment="1">
      <alignment horizontal="center" vertical="center"/>
    </xf>
    <xf numFmtId="0" fontId="67" fillId="0" borderId="0" xfId="0" applyFont="1" applyAlignment="1">
      <alignment horizontal="center" vertical="center" wrapText="1"/>
    </xf>
    <xf numFmtId="2" fontId="67" fillId="0" borderId="0" xfId="0" applyNumberFormat="1" applyFont="1" applyAlignment="1">
      <alignment horizontal="center" vertical="center" wrapText="1"/>
    </xf>
    <xf numFmtId="164" fontId="67" fillId="0" borderId="0" xfId="0" applyNumberFormat="1" applyFont="1" applyAlignment="1">
      <alignment horizontal="center" vertical="center" wrapText="1"/>
    </xf>
    <xf numFmtId="164" fontId="67" fillId="0" borderId="27" xfId="0" applyNumberFormat="1" applyFont="1" applyBorder="1" applyAlignment="1">
      <alignment horizontal="center" vertical="center"/>
    </xf>
    <xf numFmtId="164" fontId="67" fillId="0" borderId="25" xfId="0" applyNumberFormat="1" applyFont="1" applyBorder="1" applyAlignment="1">
      <alignment horizontal="center"/>
    </xf>
    <xf numFmtId="164" fontId="67" fillId="0" borderId="27" xfId="0" applyNumberFormat="1" applyFont="1" applyBorder="1" applyAlignment="1">
      <alignment horizontal="center"/>
    </xf>
    <xf numFmtId="0" fontId="67" fillId="0" borderId="24" xfId="0" quotePrefix="1" applyFont="1" applyBorder="1" applyAlignment="1">
      <alignment horizontal="center" vertical="center" wrapText="1"/>
    </xf>
    <xf numFmtId="0" fontId="67" fillId="0" borderId="0" xfId="0" applyFont="1" applyAlignment="1">
      <alignment horizontal="center"/>
    </xf>
    <xf numFmtId="2" fontId="67" fillId="0" borderId="0" xfId="0" applyNumberFormat="1" applyFont="1" applyAlignment="1">
      <alignment horizontal="center"/>
    </xf>
    <xf numFmtId="164" fontId="67" fillId="0" borderId="0" xfId="0" applyNumberFormat="1" applyFont="1" applyAlignment="1">
      <alignment horizontal="center"/>
    </xf>
    <xf numFmtId="0" fontId="72" fillId="0" borderId="0" xfId="0" applyFont="1" applyAlignment="1">
      <alignment vertical="center"/>
    </xf>
    <xf numFmtId="0" fontId="99" fillId="0" borderId="0" xfId="0" applyFont="1" applyAlignment="1">
      <alignment vertical="center"/>
    </xf>
    <xf numFmtId="0" fontId="67" fillId="0" borderId="0" xfId="0" applyFont="1"/>
    <xf numFmtId="0" fontId="99" fillId="0" borderId="0" xfId="0" applyFont="1" applyAlignment="1">
      <alignment horizontal="left" vertical="center"/>
    </xf>
    <xf numFmtId="0" fontId="99" fillId="0" borderId="0" xfId="0" applyFont="1"/>
    <xf numFmtId="0" fontId="67" fillId="0" borderId="0" xfId="0" applyFont="1" applyAlignment="1">
      <alignment vertical="center"/>
    </xf>
    <xf numFmtId="0" fontId="72" fillId="0" borderId="0" xfId="0" applyFont="1" applyAlignment="1">
      <alignment horizontal="left" vertical="center"/>
    </xf>
    <xf numFmtId="0" fontId="105" fillId="0" borderId="0" xfId="0" applyFont="1" applyAlignment="1">
      <alignment horizontal="center" vertic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top"/>
    </xf>
    <xf numFmtId="0" fontId="27" fillId="9" borderId="0" xfId="0" applyFont="1" applyFill="1" applyBorder="1" applyAlignment="1">
      <alignment vertical="center"/>
    </xf>
    <xf numFmtId="0" fontId="1" fillId="9" borderId="0" xfId="0" applyFont="1" applyFill="1" applyBorder="1"/>
    <xf numFmtId="0" fontId="27" fillId="9" borderId="3" xfId="0" applyFont="1" applyFill="1" applyBorder="1" applyAlignment="1">
      <alignment vertical="center"/>
    </xf>
    <xf numFmtId="0" fontId="27" fillId="9" borderId="0" xfId="0" applyFont="1" applyFill="1" applyBorder="1"/>
    <xf numFmtId="0" fontId="47" fillId="9" borderId="3" xfId="0" applyFont="1" applyFill="1" applyBorder="1" applyAlignment="1">
      <alignment horizontal="center" vertical="center"/>
    </xf>
    <xf numFmtId="0" fontId="47" fillId="9" borderId="3" xfId="0" applyFont="1" applyFill="1" applyBorder="1" applyAlignment="1">
      <alignment horizontal="left" vertical="center"/>
    </xf>
    <xf numFmtId="0" fontId="1" fillId="9" borderId="3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center"/>
    </xf>
    <xf numFmtId="0" fontId="1" fillId="9" borderId="3" xfId="0" applyFont="1" applyFill="1" applyBorder="1"/>
    <xf numFmtId="0" fontId="35" fillId="0" borderId="26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35" fillId="0" borderId="13" xfId="0" applyFont="1" applyBorder="1" applyAlignment="1">
      <alignment horizontal="left"/>
    </xf>
    <xf numFmtId="0" fontId="35" fillId="0" borderId="6" xfId="0" applyFont="1" applyBorder="1" applyAlignment="1">
      <alignment horizontal="left"/>
    </xf>
    <xf numFmtId="0" fontId="35" fillId="0" borderId="11" xfId="0" applyFont="1" applyBorder="1" applyAlignment="1">
      <alignment horizontal="left"/>
    </xf>
    <xf numFmtId="0" fontId="35" fillId="0" borderId="24" xfId="0" applyFont="1" applyBorder="1" applyAlignment="1">
      <alignment horizontal="left"/>
    </xf>
    <xf numFmtId="0" fontId="35" fillId="0" borderId="11" xfId="0" applyFont="1" applyBorder="1" applyAlignment="1">
      <alignment horizontal="left" wrapText="1"/>
    </xf>
    <xf numFmtId="0" fontId="35" fillId="0" borderId="24" xfId="0" applyFont="1" applyBorder="1" applyAlignment="1">
      <alignment horizontal="left" wrapText="1"/>
    </xf>
    <xf numFmtId="0" fontId="44" fillId="0" borderId="10" xfId="0" applyFont="1" applyBorder="1" applyAlignment="1">
      <alignment horizontal="left" vertical="center" wrapText="1"/>
    </xf>
    <xf numFmtId="0" fontId="44" fillId="0" borderId="4" xfId="0" applyFont="1" applyBorder="1" applyAlignment="1">
      <alignment horizontal="left" vertical="center" wrapText="1"/>
    </xf>
    <xf numFmtId="0" fontId="39" fillId="34" borderId="3" xfId="0" applyFont="1" applyFill="1" applyBorder="1" applyAlignment="1">
      <alignment horizontal="center" vertical="center"/>
    </xf>
    <xf numFmtId="0" fontId="39" fillId="34" borderId="8" xfId="0" applyFont="1" applyFill="1" applyBorder="1" applyAlignment="1">
      <alignment horizontal="center" vertical="center"/>
    </xf>
    <xf numFmtId="2" fontId="40" fillId="35" borderId="28" xfId="0" applyNumberFormat="1" applyFont="1" applyFill="1" applyBorder="1" applyAlignment="1">
      <alignment horizontal="center" vertical="center"/>
    </xf>
    <xf numFmtId="2" fontId="40" fillId="35" borderId="29" xfId="0" applyNumberFormat="1" applyFont="1" applyFill="1" applyBorder="1" applyAlignment="1">
      <alignment horizontal="center" vertical="center"/>
    </xf>
    <xf numFmtId="2" fontId="40" fillId="35" borderId="30" xfId="0" applyNumberFormat="1" applyFont="1" applyFill="1" applyBorder="1" applyAlignment="1">
      <alignment horizontal="center" vertical="center"/>
    </xf>
    <xf numFmtId="2" fontId="40" fillId="35" borderId="31" xfId="0" applyNumberFormat="1" applyFont="1" applyFill="1" applyBorder="1" applyAlignment="1">
      <alignment horizontal="center" vertical="center"/>
    </xf>
    <xf numFmtId="2" fontId="40" fillId="35" borderId="3" xfId="0" applyNumberFormat="1" applyFont="1" applyFill="1" applyBorder="1" applyAlignment="1">
      <alignment horizontal="center" vertical="center"/>
    </xf>
    <xf numFmtId="2" fontId="40" fillId="35" borderId="32" xfId="0" applyNumberFormat="1" applyFont="1" applyFill="1" applyBorder="1" applyAlignment="1">
      <alignment horizontal="center" vertical="center"/>
    </xf>
    <xf numFmtId="2" fontId="40" fillId="35" borderId="33" xfId="0" applyNumberFormat="1" applyFont="1" applyFill="1" applyBorder="1" applyAlignment="1">
      <alignment horizontal="center" vertical="center"/>
    </xf>
    <xf numFmtId="2" fontId="40" fillId="35" borderId="34" xfId="0" applyNumberFormat="1" applyFont="1" applyFill="1" applyBorder="1" applyAlignment="1">
      <alignment horizontal="center" vertical="center"/>
    </xf>
    <xf numFmtId="2" fontId="40" fillId="35" borderId="35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right" vertical="center"/>
    </xf>
    <xf numFmtId="0" fontId="45" fillId="0" borderId="0" xfId="0" applyFont="1" applyAlignment="1">
      <alignment vertical="center"/>
    </xf>
    <xf numFmtId="0" fontId="79" fillId="35" borderId="28" xfId="0" applyFont="1" applyFill="1" applyBorder="1" applyAlignment="1">
      <alignment horizontal="center"/>
    </xf>
    <xf numFmtId="0" fontId="79" fillId="35" borderId="30" xfId="0" applyFont="1" applyFill="1" applyBorder="1" applyAlignment="1">
      <alignment horizontal="center"/>
    </xf>
    <xf numFmtId="0" fontId="65" fillId="0" borderId="26" xfId="0" applyFont="1" applyBorder="1" applyAlignment="1">
      <alignment horizontal="left"/>
    </xf>
    <xf numFmtId="0" fontId="65" fillId="0" borderId="0" xfId="0" applyFont="1" applyAlignment="1">
      <alignment horizontal="left"/>
    </xf>
    <xf numFmtId="0" fontId="79" fillId="0" borderId="31" xfId="0" applyFont="1" applyBorder="1" applyAlignment="1">
      <alignment horizontal="left"/>
    </xf>
    <xf numFmtId="0" fontId="79" fillId="0" borderId="3" xfId="0" applyFont="1" applyBorder="1" applyAlignment="1">
      <alignment horizontal="left"/>
    </xf>
    <xf numFmtId="0" fontId="87" fillId="0" borderId="10" xfId="0" applyFont="1" applyBorder="1" applyAlignment="1">
      <alignment horizontal="left" vertical="center" wrapText="1"/>
    </xf>
    <xf numFmtId="0" fontId="87" fillId="0" borderId="4" xfId="0" applyFont="1" applyBorder="1" applyAlignment="1">
      <alignment horizontal="left" vertical="center" wrapText="1"/>
    </xf>
    <xf numFmtId="0" fontId="65" fillId="0" borderId="11" xfId="0" applyFont="1" applyBorder="1" applyAlignment="1">
      <alignment horizontal="left"/>
    </xf>
    <xf numFmtId="0" fontId="65" fillId="0" borderId="24" xfId="0" applyFont="1" applyBorder="1" applyAlignment="1">
      <alignment horizontal="left"/>
    </xf>
    <xf numFmtId="0" fontId="79" fillId="0" borderId="31" xfId="0" applyFont="1" applyBorder="1" applyAlignment="1">
      <alignment horizontal="left" vertical="center" wrapText="1"/>
    </xf>
    <xf numFmtId="0" fontId="79" fillId="0" borderId="3" xfId="0" applyFont="1" applyBorder="1" applyAlignment="1">
      <alignment horizontal="left" vertical="center" wrapText="1"/>
    </xf>
    <xf numFmtId="2" fontId="85" fillId="35" borderId="28" xfId="0" applyNumberFormat="1" applyFont="1" applyFill="1" applyBorder="1" applyAlignment="1">
      <alignment horizontal="center" vertical="center"/>
    </xf>
    <xf numFmtId="2" fontId="85" fillId="35" borderId="29" xfId="0" applyNumberFormat="1" applyFont="1" applyFill="1" applyBorder="1" applyAlignment="1">
      <alignment horizontal="center" vertical="center"/>
    </xf>
    <xf numFmtId="2" fontId="85" fillId="35" borderId="30" xfId="0" applyNumberFormat="1" applyFont="1" applyFill="1" applyBorder="1" applyAlignment="1">
      <alignment horizontal="center" vertical="center"/>
    </xf>
    <xf numFmtId="2" fontId="85" fillId="35" borderId="31" xfId="0" applyNumberFormat="1" applyFont="1" applyFill="1" applyBorder="1" applyAlignment="1">
      <alignment horizontal="center" vertical="center"/>
    </xf>
    <xf numFmtId="2" fontId="85" fillId="35" borderId="3" xfId="0" applyNumberFormat="1" applyFont="1" applyFill="1" applyBorder="1" applyAlignment="1">
      <alignment horizontal="center" vertical="center"/>
    </xf>
    <xf numFmtId="2" fontId="85" fillId="35" borderId="32" xfId="0" applyNumberFormat="1" applyFont="1" applyFill="1" applyBorder="1" applyAlignment="1">
      <alignment horizontal="center" vertical="center"/>
    </xf>
    <xf numFmtId="2" fontId="85" fillId="35" borderId="33" xfId="0" applyNumberFormat="1" applyFont="1" applyFill="1" applyBorder="1" applyAlignment="1">
      <alignment horizontal="center" vertical="center"/>
    </xf>
    <xf numFmtId="2" fontId="85" fillId="35" borderId="34" xfId="0" applyNumberFormat="1" applyFont="1" applyFill="1" applyBorder="1" applyAlignment="1">
      <alignment horizontal="center" vertical="center"/>
    </xf>
    <xf numFmtId="2" fontId="85" fillId="35" borderId="35" xfId="0" applyNumberFormat="1" applyFont="1" applyFill="1" applyBorder="1" applyAlignment="1">
      <alignment horizontal="center" vertical="center"/>
    </xf>
    <xf numFmtId="0" fontId="76" fillId="0" borderId="13" xfId="0" applyFont="1" applyBorder="1" applyAlignment="1">
      <alignment horizontal="left"/>
    </xf>
    <xf numFmtId="0" fontId="76" fillId="0" borderId="6" xfId="0" applyFont="1" applyBorder="1" applyAlignment="1">
      <alignment horizontal="left"/>
    </xf>
    <xf numFmtId="0" fontId="79" fillId="0" borderId="28" xfId="0" applyFont="1" applyBorder="1" applyAlignment="1">
      <alignment horizontal="left"/>
    </xf>
    <xf numFmtId="0" fontId="79" fillId="0" borderId="29" xfId="0" applyFont="1" applyBorder="1" applyAlignment="1">
      <alignment horizontal="left"/>
    </xf>
    <xf numFmtId="0" fontId="99" fillId="0" borderId="47" xfId="0" applyFont="1" applyBorder="1" applyAlignment="1">
      <alignment horizontal="left" vertical="center"/>
    </xf>
    <xf numFmtId="0" fontId="99" fillId="0" borderId="48" xfId="0" applyFont="1" applyBorder="1" applyAlignment="1">
      <alignment horizontal="left" vertical="center"/>
    </xf>
    <xf numFmtId="0" fontId="99" fillId="0" borderId="53" xfId="0" applyFont="1" applyBorder="1" applyAlignment="1">
      <alignment horizontal="left" vertical="center"/>
    </xf>
    <xf numFmtId="0" fontId="82" fillId="34" borderId="3" xfId="0" applyFont="1" applyFill="1" applyBorder="1" applyAlignment="1">
      <alignment horizontal="center" vertical="center"/>
    </xf>
    <xf numFmtId="0" fontId="82" fillId="34" borderId="8" xfId="0" applyFont="1" applyFill="1" applyBorder="1" applyAlignment="1">
      <alignment horizontal="center" vertical="center"/>
    </xf>
    <xf numFmtId="0" fontId="65" fillId="0" borderId="13" xfId="0" applyFont="1" applyBorder="1" applyAlignment="1">
      <alignment horizontal="left"/>
    </xf>
    <xf numFmtId="0" fontId="65" fillId="0" borderId="6" xfId="0" applyFont="1" applyBorder="1" applyAlignment="1">
      <alignment horizontal="left"/>
    </xf>
    <xf numFmtId="0" fontId="80" fillId="0" borderId="0" xfId="0" applyFont="1" applyAlignment="1">
      <alignment horizontal="center" vertical="center"/>
    </xf>
    <xf numFmtId="0" fontId="84" fillId="0" borderId="0" xfId="0" applyFont="1" applyAlignment="1">
      <alignment vertical="center"/>
    </xf>
    <xf numFmtId="2" fontId="85" fillId="35" borderId="56" xfId="0" applyNumberFormat="1" applyFont="1" applyFill="1" applyBorder="1" applyAlignment="1">
      <alignment horizontal="center" vertical="center"/>
    </xf>
    <xf numFmtId="2" fontId="85" fillId="35" borderId="8" xfId="0" applyNumberFormat="1" applyFont="1" applyFill="1" applyBorder="1" applyAlignment="1">
      <alignment horizontal="center" vertical="center"/>
    </xf>
    <xf numFmtId="2" fontId="85" fillId="35" borderId="61" xfId="0" applyNumberFormat="1" applyFont="1" applyFill="1" applyBorder="1" applyAlignment="1">
      <alignment horizontal="center" vertical="center"/>
    </xf>
    <xf numFmtId="0" fontId="61" fillId="0" borderId="10" xfId="0" applyFont="1" applyBorder="1" applyAlignment="1">
      <alignment horizontal="left" vertical="center" wrapText="1"/>
    </xf>
    <xf numFmtId="0" fontId="61" fillId="0" borderId="4" xfId="0" applyFont="1" applyBorder="1" applyAlignment="1">
      <alignment horizontal="left" vertical="center" wrapText="1"/>
    </xf>
    <xf numFmtId="14" fontId="59" fillId="9" borderId="0" xfId="0" applyNumberFormat="1" applyFont="1" applyFill="1" applyAlignment="1">
      <alignment horizontal="left"/>
    </xf>
    <xf numFmtId="0" fontId="77" fillId="9" borderId="0" xfId="0" applyFont="1" applyFill="1" applyAlignment="1">
      <alignment horizontal="center" vertical="center" wrapText="1"/>
    </xf>
    <xf numFmtId="0" fontId="57" fillId="9" borderId="0" xfId="0" applyFont="1" applyFill="1" applyAlignment="1">
      <alignment horizontal="center" vertical="center"/>
    </xf>
    <xf numFmtId="0" fontId="70" fillId="0" borderId="37" xfId="0" applyFont="1" applyBorder="1" applyAlignment="1">
      <alignment horizontal="right" vertical="center"/>
    </xf>
    <xf numFmtId="0" fontId="71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 wrapText="1"/>
    </xf>
    <xf numFmtId="0" fontId="70" fillId="0" borderId="0" xfId="0" applyFont="1" applyAlignment="1">
      <alignment horizontal="right"/>
    </xf>
    <xf numFmtId="0" fontId="53" fillId="0" borderId="47" xfId="0" applyFont="1" applyBorder="1" applyAlignment="1">
      <alignment horizontal="left" vertical="center" wrapText="1"/>
    </xf>
    <xf numFmtId="0" fontId="53" fillId="0" borderId="48" xfId="0" applyFont="1" applyBorder="1" applyAlignment="1">
      <alignment horizontal="left" vertical="center" wrapText="1"/>
    </xf>
    <xf numFmtId="0" fontId="53" fillId="0" borderId="49" xfId="0" applyFont="1" applyBorder="1" applyAlignment="1">
      <alignment horizontal="left" vertical="center" wrapText="1"/>
    </xf>
    <xf numFmtId="0" fontId="54" fillId="0" borderId="3" xfId="0" applyFont="1" applyBorder="1" applyAlignment="1">
      <alignment horizontal="left" vertical="center" wrapText="1" indent="1"/>
    </xf>
    <xf numFmtId="0" fontId="53" fillId="0" borderId="3" xfId="0" applyFont="1" applyBorder="1" applyAlignment="1">
      <alignment horizontal="left" vertical="center" wrapText="1"/>
    </xf>
    <xf numFmtId="0" fontId="54" fillId="0" borderId="32" xfId="0" applyFont="1" applyBorder="1" applyAlignment="1">
      <alignment horizontal="left" vertical="center" wrapText="1" indent="1"/>
    </xf>
    <xf numFmtId="0" fontId="28" fillId="36" borderId="11" xfId="0" applyFont="1" applyFill="1" applyBorder="1" applyAlignment="1">
      <alignment horizontal="center" vertical="center" wrapText="1"/>
    </xf>
    <xf numFmtId="0" fontId="28" fillId="36" borderId="24" xfId="0" applyFont="1" applyFill="1" applyBorder="1" applyAlignment="1">
      <alignment horizontal="center" vertical="center" wrapText="1"/>
    </xf>
    <xf numFmtId="0" fontId="28" fillId="36" borderId="41" xfId="0" applyFont="1" applyFill="1" applyBorder="1" applyAlignment="1">
      <alignment horizontal="center" vertical="center" wrapText="1"/>
    </xf>
    <xf numFmtId="0" fontId="28" fillId="36" borderId="13" xfId="0" applyFont="1" applyFill="1" applyBorder="1" applyAlignment="1">
      <alignment horizontal="center" vertical="center" wrapText="1"/>
    </xf>
    <xf numFmtId="0" fontId="28" fillId="36" borderId="6" xfId="0" applyFont="1" applyFill="1" applyBorder="1" applyAlignment="1">
      <alignment horizontal="center" vertical="center" wrapText="1"/>
    </xf>
    <xf numFmtId="0" fontId="28" fillId="36" borderId="54" xfId="0" applyFont="1" applyFill="1" applyBorder="1" applyAlignment="1">
      <alignment horizontal="center" vertical="center" wrapText="1"/>
    </xf>
    <xf numFmtId="0" fontId="25" fillId="36" borderId="29" xfId="0" applyFont="1" applyFill="1" applyBorder="1" applyAlignment="1">
      <alignment horizontal="center" vertical="center" wrapText="1"/>
    </xf>
    <xf numFmtId="0" fontId="25" fillId="36" borderId="34" xfId="0" applyFont="1" applyFill="1" applyBorder="1" applyAlignment="1">
      <alignment horizontal="center" vertical="center" wrapText="1"/>
    </xf>
    <xf numFmtId="0" fontId="25" fillId="36" borderId="38" xfId="0" applyFont="1" applyFill="1" applyBorder="1" applyAlignment="1">
      <alignment horizontal="center" vertical="center" wrapText="1"/>
    </xf>
    <xf numFmtId="0" fontId="25" fillId="36" borderId="52" xfId="0" applyFont="1" applyFill="1" applyBorder="1" applyAlignment="1">
      <alignment horizontal="center" vertical="center" wrapText="1"/>
    </xf>
    <xf numFmtId="0" fontId="53" fillId="0" borderId="43" xfId="0" applyFont="1" applyBorder="1" applyAlignment="1">
      <alignment horizontal="left" vertical="center" wrapText="1"/>
    </xf>
    <xf numFmtId="0" fontId="53" fillId="0" borderId="37" xfId="0" applyFont="1" applyBorder="1" applyAlignment="1">
      <alignment horizontal="left" vertical="center" wrapText="1"/>
    </xf>
    <xf numFmtId="0" fontId="53" fillId="0" borderId="12" xfId="0" applyFont="1" applyBorder="1" applyAlignment="1">
      <alignment horizontal="left" vertical="center" wrapText="1"/>
    </xf>
    <xf numFmtId="0" fontId="53" fillId="0" borderId="45" xfId="0" applyFont="1" applyBorder="1" applyAlignment="1">
      <alignment horizontal="left" vertical="center" wrapText="1"/>
    </xf>
    <xf numFmtId="0" fontId="53" fillId="0" borderId="46" xfId="0" applyFont="1" applyBorder="1" applyAlignment="1">
      <alignment horizontal="left" vertical="center" wrapText="1"/>
    </xf>
    <xf numFmtId="0" fontId="53" fillId="0" borderId="9" xfId="0" applyFont="1" applyBorder="1" applyAlignment="1">
      <alignment horizontal="left" vertical="center" wrapText="1"/>
    </xf>
    <xf numFmtId="2" fontId="28" fillId="0" borderId="38" xfId="0" applyNumberFormat="1" applyFont="1" applyBorder="1" applyAlignment="1">
      <alignment horizontal="center" vertical="center" wrapText="1"/>
    </xf>
    <xf numFmtId="2" fontId="28" fillId="0" borderId="50" xfId="0" applyNumberFormat="1" applyFont="1" applyBorder="1" applyAlignment="1">
      <alignment horizontal="center" vertical="center" wrapText="1"/>
    </xf>
    <xf numFmtId="2" fontId="28" fillId="0" borderId="36" xfId="0" applyNumberFormat="1" applyFont="1" applyBorder="1" applyAlignment="1">
      <alignment horizontal="center" vertical="center" wrapText="1"/>
    </xf>
    <xf numFmtId="2" fontId="28" fillId="0" borderId="51" xfId="0" applyNumberFormat="1" applyFont="1" applyBorder="1" applyAlignment="1">
      <alignment horizontal="center" vertical="center" wrapText="1"/>
    </xf>
    <xf numFmtId="14" fontId="28" fillId="0" borderId="52" xfId="0" applyNumberFormat="1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52" fillId="0" borderId="24" xfId="0" applyFont="1" applyBorder="1" applyAlignment="1">
      <alignment horizontal="left" vertical="center" wrapText="1"/>
    </xf>
    <xf numFmtId="0" fontId="54" fillId="0" borderId="34" xfId="0" applyFont="1" applyBorder="1" applyAlignment="1">
      <alignment horizontal="left" vertical="center" wrapText="1" indent="1"/>
    </xf>
    <xf numFmtId="0" fontId="53" fillId="0" borderId="34" xfId="0" applyFont="1" applyBorder="1" applyAlignment="1">
      <alignment horizontal="left" vertical="center" wrapText="1"/>
    </xf>
    <xf numFmtId="0" fontId="54" fillId="0" borderId="35" xfId="0" applyFont="1" applyBorder="1" applyAlignment="1">
      <alignment horizontal="left" vertical="center" wrapText="1" indent="1"/>
    </xf>
    <xf numFmtId="0" fontId="46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54" fillId="0" borderId="29" xfId="0" applyFont="1" applyBorder="1" applyAlignment="1">
      <alignment horizontal="left" vertical="center" wrapText="1" indent="1"/>
    </xf>
    <xf numFmtId="0" fontId="53" fillId="0" borderId="29" xfId="0" applyFont="1" applyBorder="1" applyAlignment="1">
      <alignment horizontal="left" vertical="center" wrapText="1"/>
    </xf>
    <xf numFmtId="0" fontId="54" fillId="0" borderId="30" xfId="0" applyFont="1" applyBorder="1" applyAlignment="1">
      <alignment horizontal="left" vertical="center" wrapText="1" indent="1"/>
    </xf>
    <xf numFmtId="0" fontId="53" fillId="0" borderId="57" xfId="0" applyFont="1" applyBorder="1" applyAlignment="1">
      <alignment horizontal="left" vertical="center" wrapText="1"/>
    </xf>
    <xf numFmtId="0" fontId="53" fillId="0" borderId="39" xfId="0" applyFont="1" applyBorder="1" applyAlignment="1">
      <alignment horizontal="left" vertical="center" wrapText="1"/>
    </xf>
    <xf numFmtId="0" fontId="53" fillId="0" borderId="40" xfId="0" applyFont="1" applyBorder="1" applyAlignment="1">
      <alignment horizontal="left" vertical="center" wrapText="1"/>
    </xf>
    <xf numFmtId="0" fontId="53" fillId="0" borderId="13" xfId="0" applyFont="1" applyBorder="1" applyAlignment="1">
      <alignment horizontal="left" vertical="center" wrapText="1"/>
    </xf>
    <xf numFmtId="0" fontId="53" fillId="0" borderId="6" xfId="0" applyFont="1" applyBorder="1" applyAlignment="1">
      <alignment horizontal="left" vertical="center" wrapText="1"/>
    </xf>
    <xf numFmtId="0" fontId="53" fillId="0" borderId="54" xfId="0" applyFont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2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name val="Tahoma"/>
        <scheme val="none"/>
      </font>
      <numFmt numFmtId="0" formatCode="General"/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ahom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aho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ahom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ahom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ahom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ahom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ahom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ahom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ahom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ahoma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name val="Tahoma"/>
        <scheme val="none"/>
      </font>
      <fill>
        <patternFill>
          <fgColor rgb="FF000000"/>
          <bgColor rgb="FFFFFFFF"/>
        </patternFill>
      </fill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28840</xdr:colOff>
      <xdr:row>0</xdr:row>
      <xdr:rowOff>39448</xdr:rowOff>
    </xdr:from>
    <xdr:to>
      <xdr:col>2</xdr:col>
      <xdr:colOff>122359</xdr:colOff>
      <xdr:row>4</xdr:row>
      <xdr:rowOff>126671</xdr:rowOff>
    </xdr:to>
    <xdr:pic>
      <xdr:nvPicPr>
        <xdr:cNvPr id="3" name="Picture 2" descr="vWBnEW5q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77" r="18910"/>
        <a:stretch/>
      </xdr:blipFill>
      <xdr:spPr bwMode="auto">
        <a:xfrm>
          <a:off x="307263" y="39448"/>
          <a:ext cx="826211" cy="101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505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9C8C0866-FEAC-4634-837F-72D6D84E2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5446E9A5-632A-4F34-A59B-66F08F973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09B9A1A1-4495-4E86-AAAD-13C31F3FA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814D5114-8F96-4D96-A8B2-511EA392D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6C44738B-43B1-4D7E-9857-E1C8907DB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2FE43CA6-6942-445A-A37E-70318D45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73723590-EF0E-414E-8ADB-200E33F69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8890727A-659E-4724-9554-337B78998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86FFE339-8159-4BE2-82F2-F0B16BCB7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F59C3F17-B911-4F96-9AA1-F04B848CC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7B46F2D0-DF28-4FE7-9A1E-DAF37A936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CC12FDAF-3B39-4836-8938-2FC1DDAD3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129DE0DD-2F00-46E8-8BF9-CBD796F78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E22E1FE8-6C42-42E3-8DE4-BC8F7DB06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C6D6A832-DF28-4C0D-B5E9-7B5B37541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82F12F4A-A369-4020-A29B-A31A5E299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5EFCFD2F-E634-48C8-BF84-7B3DCD499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6C3A6358-A0F9-4735-8765-699192509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54E802DE-6EF9-4D0B-8E88-C52E69E40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5AD2060D-11AB-47DE-897B-844C457E1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D4FEEEB5-5342-4053-ADE1-91E390490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BC5D5F9C-F74C-4233-AF98-D0CB157BC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5A88DE1D-BE30-47F3-A5DF-5CD6BB8F4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CE263D84-E552-4F46-BC31-9124B58A5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0600BDC1-4CC7-4A56-A4F2-0120CB542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18EECAC5-DFE3-4106-A2F8-41D5F3071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AF6D8A1D-B428-4D7E-A787-E42D032A1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048957E2-762E-4677-8073-CB0B67281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C1C1F1E0-5222-4636-BE6B-7C5900877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DBC259E3-AAFD-4232-B68B-E3E2A3456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65652</xdr:colOff>
      <xdr:row>0</xdr:row>
      <xdr:rowOff>111384</xdr:rowOff>
    </xdr:from>
    <xdr:ext cx="658248" cy="810360"/>
    <xdr:pic>
      <xdr:nvPicPr>
        <xdr:cNvPr id="2" name="Picture 1">
          <a:extLst>
            <a:ext uri="{FF2B5EF4-FFF2-40B4-BE49-F238E27FC236}">
              <a16:creationId xmlns:a16="http://schemas.microsoft.com/office/drawing/2014/main" id="{27D2D1A9-8569-4784-A5E0-C417FFF71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972" y="111384"/>
          <a:ext cx="658248" cy="81036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173182</xdr:colOff>
      <xdr:row>0</xdr:row>
      <xdr:rowOff>86591</xdr:rowOff>
    </xdr:from>
    <xdr:ext cx="1068944" cy="13020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137" y="86591"/>
          <a:ext cx="1068944" cy="130200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474637</xdr:colOff>
      <xdr:row>2</xdr:row>
      <xdr:rowOff>9525</xdr:rowOff>
    </xdr:from>
    <xdr:ext cx="805472" cy="98108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7812" y="695325"/>
          <a:ext cx="805472" cy="981084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451474</xdr:colOff>
      <xdr:row>1</xdr:row>
      <xdr:rowOff>301298</xdr:rowOff>
    </xdr:from>
    <xdr:ext cx="805472" cy="98108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4235" y="640885"/>
          <a:ext cx="805472" cy="981084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435324</xdr:colOff>
      <xdr:row>1</xdr:row>
      <xdr:rowOff>288045</xdr:rowOff>
    </xdr:from>
    <xdr:ext cx="805472" cy="98108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8085" y="627632"/>
          <a:ext cx="805472" cy="981084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451888</xdr:colOff>
      <xdr:row>1</xdr:row>
      <xdr:rowOff>279762</xdr:rowOff>
    </xdr:from>
    <xdr:ext cx="805472" cy="98108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4649" y="619349"/>
          <a:ext cx="805472" cy="98108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mran/Desktop/Azad%20college%20charsadda/ADE%20Session%202019-2021/3rd%20Semester%20ADE%202019-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LS"/>
      <sheetName val="A"/>
      <sheetName val="TOU"/>
      <sheetName val="TOGS"/>
      <sheetName val="Teaching P"/>
      <sheetName val="Result-Card"/>
      <sheetName val="Result Print"/>
      <sheetName val="NEW RESULT PRINT"/>
      <sheetName val="CGPA Calculations"/>
      <sheetName val="Grading Criteria"/>
      <sheetName val="Student Data"/>
      <sheetName val="result-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B5" t="str">
            <v>F</v>
          </cell>
          <cell r="F5">
            <v>0</v>
          </cell>
          <cell r="H5" t="str">
            <v>Fail</v>
          </cell>
        </row>
        <row r="7">
          <cell r="B7" t="str">
            <v>D</v>
          </cell>
          <cell r="F7">
            <v>1</v>
          </cell>
          <cell r="H7" t="str">
            <v>Pass (Probation)</v>
          </cell>
        </row>
        <row r="9">
          <cell r="B9" t="str">
            <v>D+</v>
          </cell>
          <cell r="F9">
            <v>1.5</v>
          </cell>
          <cell r="H9" t="str">
            <v>Pass (Probation)</v>
          </cell>
        </row>
        <row r="11">
          <cell r="B11" t="str">
            <v>C</v>
          </cell>
          <cell r="F11">
            <v>2</v>
          </cell>
          <cell r="H11" t="str">
            <v>Fair</v>
          </cell>
        </row>
        <row r="13">
          <cell r="B13" t="str">
            <v>C+</v>
          </cell>
          <cell r="F13">
            <v>2.5</v>
          </cell>
          <cell r="H13" t="str">
            <v>Fair</v>
          </cell>
        </row>
        <row r="15">
          <cell r="B15" t="str">
            <v>B</v>
          </cell>
          <cell r="F15">
            <v>3</v>
          </cell>
          <cell r="H15" t="str">
            <v>Good</v>
          </cell>
        </row>
        <row r="17">
          <cell r="B17" t="str">
            <v>B+</v>
          </cell>
          <cell r="F17">
            <v>3.5</v>
          </cell>
          <cell r="H17" t="str">
            <v>Very Good</v>
          </cell>
        </row>
        <row r="19">
          <cell r="B19" t="str">
            <v>A</v>
          </cell>
          <cell r="F19">
            <v>4</v>
          </cell>
          <cell r="H19" t="str">
            <v>Excellent</v>
          </cell>
        </row>
        <row r="21">
          <cell r="B21" t="str">
            <v>A+</v>
          </cell>
          <cell r="F21">
            <v>4</v>
          </cell>
          <cell r="H21" t="str">
            <v>Outstanding</v>
          </cell>
        </row>
      </sheetData>
      <sheetData sheetId="10" refreshError="1"/>
      <sheetData sheetId="11" refreshError="1"/>
    </sheetDataSet>
  </externalBook>
</externalLink>
</file>

<file path=xl/tables/table1.xml><?xml version="1.0" encoding="utf-8"?>
<table xmlns="http://schemas.openxmlformats.org/spreadsheetml/2006/main" id="4" name="Table1345" displayName="Table1345" ref="B9:O160" totalsRowShown="0" headerRowDxfId="221" dataDxfId="219" headerRowBorderDxfId="220" tableBorderDxfId="218">
  <tableColumns count="14">
    <tableColumn id="1" name="R No." dataDxfId="217">
      <calculatedColumnFormula>#REF!</calculatedColumnFormula>
    </tableColumn>
    <tableColumn id="2" name="Registration NO. " dataDxfId="216">
      <calculatedColumnFormula>#REF!</calculatedColumnFormula>
    </tableColumn>
    <tableColumn id="3" name="Name" dataDxfId="215">
      <calculatedColumnFormula>PROPER(#REF!)</calculatedColumnFormula>
    </tableColumn>
    <tableColumn id="4" name="Father Name" dataDxfId="214">
      <calculatedColumnFormula>PROPER(#REF!)</calculatedColumnFormula>
    </tableColumn>
    <tableColumn id="13" name="Column1" dataDxfId="213">
      <calculatedColumnFormula>VLOOKUP(Table1345[[#This Row],[R No.]],'sheet 1'!#REF!,7,FALSE)</calculatedColumnFormula>
    </tableColumn>
    <tableColumn id="12" name="Column2" dataDxfId="212">
      <calculatedColumnFormula>VLOOKUP(Table1345[[#This Row],[R No.]],'sheet 1'!#REF!,11,FALSE)</calculatedColumnFormula>
    </tableColumn>
    <tableColumn id="11" name="Column3" dataDxfId="211">
      <calculatedColumnFormula>VLOOKUP(Table1345[[#This Row],[R No.]],'sheet 1'!#REF!,15,FALSE)</calculatedColumnFormula>
    </tableColumn>
    <tableColumn id="10" name="Column4" dataDxfId="210">
      <calculatedColumnFormula>VLOOKUP(Table1345[[#This Row],[R No.]],'sheet 1'!#REF!,19,FALSE)</calculatedColumnFormula>
    </tableColumn>
    <tableColumn id="9" name="Column5" dataDxfId="209">
      <calculatedColumnFormula>VLOOKUP(Table1345[[#This Row],[R No.]],'sheet 1'!#REF!,23,FALSE)</calculatedColumnFormula>
    </tableColumn>
    <tableColumn id="5" name="GPA" dataDxfId="208">
      <calculatedColumnFormula>VLOOKUP(Table1345[[#This Row],[R No.]],'sheet 1'!#REF!,38,FALSE)</calculatedColumnFormula>
    </tableColumn>
    <tableColumn id="6" name="L.G" dataDxfId="207">
      <calculatedColumnFormula>IF(K10&gt;3.99,"A",IF(K10&gt;3.49,"B+",IF(K10&gt;2.99,"B",IF(K10&gt;2.49,"C+",IF(K10&gt;1.99,"C",IF(K10&gt;1.49,"D+",IF(K10&gt;0.99,"D","F")))))))</calculatedColumnFormula>
    </tableColumn>
    <tableColumn id="7" name="Remarks" dataDxfId="206">
      <calculatedColumnFormula>IF(K10&gt;3.99,"Excellent",IF(K10&gt;3.49,"Very Good",IF(K10&gt;2.99,"Good",IF(K10&gt;2.49,"Fair",IF(K10&gt;1.99,"Fair",IF(K10&gt;1.49,"Pass (Probation)",IF(K10&gt;0.99,"Pass (Probation)","Fail")))))))</calculatedColumnFormula>
    </tableColumn>
    <tableColumn id="14" name="CGPA" dataDxfId="205">
      <calculatedColumnFormula>VLOOKUP(Table1345[[#This Row],[R No.]],'sheet 1'!#REF!,41,FALSE)</calculatedColumnFormula>
    </tableColumn>
    <tableColumn id="15" name="Subject to be Re-appeared" dataDxfId="204">
      <calculatedColumnFormula>V10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MR136"/>
  <sheetViews>
    <sheetView tabSelected="1" zoomScaleNormal="100" zoomScaleSheetLayoutView="80" workbookViewId="0">
      <selection activeCell="E12" sqref="E12"/>
    </sheetView>
  </sheetViews>
  <sheetFormatPr defaultColWidth="8.28515625" defaultRowHeight="15" x14ac:dyDescent="0.25"/>
  <cols>
    <col min="1" max="1" width="21.7109375" style="285" customWidth="1"/>
    <col min="2" max="2" width="9.5703125" style="286" bestFit="1" customWidth="1"/>
    <col min="3" max="3" width="8.5703125" style="286" bestFit="1" customWidth="1"/>
    <col min="4" max="4" width="10.140625" style="286" bestFit="1" customWidth="1"/>
    <col min="5" max="5" width="13.42578125" style="286" bestFit="1" customWidth="1"/>
    <col min="6" max="6" width="38.5703125" style="286" bestFit="1" customWidth="1"/>
    <col min="7" max="7" width="18.140625" style="286" bestFit="1" customWidth="1"/>
    <col min="8" max="8" width="17.28515625" style="286" bestFit="1" customWidth="1"/>
    <col min="9" max="9" width="17.42578125" style="286" bestFit="1" customWidth="1"/>
    <col min="10" max="10" width="11" style="286" bestFit="1" customWidth="1"/>
    <col min="11" max="11" width="9.28515625" style="287" bestFit="1" customWidth="1"/>
    <col min="12" max="15904" width="8.28515625" style="280"/>
    <col min="15905" max="15912" width="9" style="280" customWidth="1"/>
    <col min="15913" max="15913" width="10" style="280" customWidth="1"/>
    <col min="15914" max="15914" width="9.5703125" style="280" customWidth="1"/>
    <col min="15915" max="16384" width="10" style="280" customWidth="1"/>
  </cols>
  <sheetData>
    <row r="1" spans="1:11 15904:15904" s="279" customFormat="1" ht="15.75" x14ac:dyDescent="0.25">
      <c r="A1" s="284" t="s">
        <v>288</v>
      </c>
      <c r="B1" s="283" t="s">
        <v>289</v>
      </c>
      <c r="C1" s="283" t="s">
        <v>290</v>
      </c>
      <c r="D1" s="283" t="s">
        <v>291</v>
      </c>
      <c r="E1" s="283" t="s">
        <v>292</v>
      </c>
      <c r="F1" s="283" t="s">
        <v>293</v>
      </c>
      <c r="G1" s="283" t="s">
        <v>294</v>
      </c>
      <c r="H1" s="283" t="s">
        <v>295</v>
      </c>
      <c r="I1" s="283" t="s">
        <v>296</v>
      </c>
      <c r="J1" s="283" t="s">
        <v>297</v>
      </c>
      <c r="K1" s="281" t="s">
        <v>298</v>
      </c>
      <c r="WMR1" s="282"/>
    </row>
    <row r="2" spans="1:11 15904:15904" ht="15.75" x14ac:dyDescent="0.25">
      <c r="A2" s="285" t="s">
        <v>255</v>
      </c>
      <c r="B2" s="286" t="s">
        <v>300</v>
      </c>
      <c r="C2" s="286">
        <v>2023</v>
      </c>
      <c r="D2" s="286">
        <v>3</v>
      </c>
      <c r="E2" s="286">
        <v>8617</v>
      </c>
      <c r="F2" s="286" t="s">
        <v>301</v>
      </c>
      <c r="G2" s="286">
        <v>0</v>
      </c>
      <c r="H2" s="286">
        <v>0</v>
      </c>
      <c r="I2" s="286">
        <v>110</v>
      </c>
      <c r="J2" s="286">
        <v>120</v>
      </c>
      <c r="K2" s="281" t="s">
        <v>299</v>
      </c>
    </row>
    <row r="3" spans="1:11 15904:15904" ht="15.75" x14ac:dyDescent="0.25">
      <c r="A3" s="285" t="s">
        <v>252</v>
      </c>
      <c r="B3" s="286" t="s">
        <v>300</v>
      </c>
      <c r="C3" s="286">
        <v>2023</v>
      </c>
      <c r="D3" s="286">
        <v>3</v>
      </c>
      <c r="E3" s="286">
        <v>8617</v>
      </c>
      <c r="F3" s="286" t="s">
        <v>301</v>
      </c>
      <c r="G3" s="286">
        <v>0</v>
      </c>
      <c r="H3" s="286">
        <v>0</v>
      </c>
      <c r="I3" s="286">
        <v>110</v>
      </c>
      <c r="J3" s="286">
        <v>120</v>
      </c>
      <c r="K3" s="281" t="s">
        <v>299</v>
      </c>
    </row>
    <row r="4" spans="1:11 15904:15904" ht="15.75" x14ac:dyDescent="0.25">
      <c r="A4" s="285" t="s">
        <v>223</v>
      </c>
      <c r="B4" s="286" t="s">
        <v>300</v>
      </c>
      <c r="C4" s="286">
        <v>2023</v>
      </c>
      <c r="D4" s="286">
        <v>3</v>
      </c>
      <c r="E4" s="286">
        <v>8617</v>
      </c>
      <c r="F4" s="286" t="s">
        <v>301</v>
      </c>
      <c r="G4" s="286">
        <v>0</v>
      </c>
      <c r="H4" s="286">
        <v>0</v>
      </c>
      <c r="I4" s="286">
        <v>110</v>
      </c>
      <c r="J4" s="286">
        <v>120</v>
      </c>
      <c r="K4" s="281" t="s">
        <v>299</v>
      </c>
    </row>
    <row r="5" spans="1:11 15904:15904" ht="15.75" x14ac:dyDescent="0.25">
      <c r="A5" s="285" t="s">
        <v>229</v>
      </c>
      <c r="B5" s="286" t="s">
        <v>300</v>
      </c>
      <c r="C5" s="286">
        <v>2023</v>
      </c>
      <c r="D5" s="286">
        <v>3</v>
      </c>
      <c r="E5" s="286">
        <v>8617</v>
      </c>
      <c r="F5" s="286" t="s">
        <v>301</v>
      </c>
      <c r="G5" s="286">
        <v>0</v>
      </c>
      <c r="H5" s="286">
        <v>0</v>
      </c>
      <c r="I5" s="286">
        <v>110</v>
      </c>
      <c r="J5" s="286">
        <v>120</v>
      </c>
      <c r="K5" s="281" t="s">
        <v>299</v>
      </c>
    </row>
    <row r="6" spans="1:11 15904:15904" ht="15.75" x14ac:dyDescent="0.25">
      <c r="A6" s="285" t="s">
        <v>233</v>
      </c>
      <c r="B6" s="286" t="s">
        <v>300</v>
      </c>
      <c r="C6" s="286">
        <v>2023</v>
      </c>
      <c r="D6" s="286">
        <v>3</v>
      </c>
      <c r="E6" s="286">
        <v>8617</v>
      </c>
      <c r="F6" s="286" t="s">
        <v>301</v>
      </c>
      <c r="G6" s="286">
        <v>0</v>
      </c>
      <c r="H6" s="286">
        <v>0</v>
      </c>
      <c r="I6" s="286">
        <v>110</v>
      </c>
      <c r="J6" s="286">
        <v>120</v>
      </c>
      <c r="K6" s="281" t="s">
        <v>299</v>
      </c>
    </row>
    <row r="7" spans="1:11 15904:15904" ht="15.75" x14ac:dyDescent="0.25">
      <c r="A7" s="285" t="s">
        <v>211</v>
      </c>
      <c r="B7" s="286" t="s">
        <v>300</v>
      </c>
      <c r="C7" s="286">
        <v>2023</v>
      </c>
      <c r="D7" s="286">
        <v>3</v>
      </c>
      <c r="E7" s="286">
        <v>8617</v>
      </c>
      <c r="F7" s="286" t="s">
        <v>301</v>
      </c>
      <c r="G7" s="286">
        <v>0</v>
      </c>
      <c r="H7" s="286">
        <v>0</v>
      </c>
      <c r="I7" s="286">
        <v>110</v>
      </c>
      <c r="J7" s="286">
        <v>120</v>
      </c>
      <c r="K7" s="281" t="s">
        <v>299</v>
      </c>
    </row>
    <row r="8" spans="1:11 15904:15904" ht="15.75" x14ac:dyDescent="0.25">
      <c r="A8" s="285" t="s">
        <v>174</v>
      </c>
      <c r="B8" s="286" t="s">
        <v>300</v>
      </c>
      <c r="C8" s="286">
        <v>2023</v>
      </c>
      <c r="D8" s="286">
        <v>3</v>
      </c>
      <c r="E8" s="286">
        <v>8617</v>
      </c>
      <c r="F8" s="286" t="s">
        <v>301</v>
      </c>
      <c r="G8" s="286">
        <v>0</v>
      </c>
      <c r="H8" s="286">
        <v>0</v>
      </c>
      <c r="I8" s="286">
        <v>110</v>
      </c>
      <c r="J8" s="286">
        <v>120</v>
      </c>
      <c r="K8" s="281" t="s">
        <v>299</v>
      </c>
    </row>
    <row r="9" spans="1:11 15904:15904" ht="15.75" x14ac:dyDescent="0.25">
      <c r="A9" s="285" t="s">
        <v>193</v>
      </c>
      <c r="B9" s="286" t="s">
        <v>300</v>
      </c>
      <c r="C9" s="286">
        <v>2023</v>
      </c>
      <c r="D9" s="286">
        <v>3</v>
      </c>
      <c r="E9" s="286">
        <v>8617</v>
      </c>
      <c r="F9" s="286" t="s">
        <v>301</v>
      </c>
      <c r="G9" s="286">
        <v>0</v>
      </c>
      <c r="H9" s="286">
        <v>0</v>
      </c>
      <c r="I9" s="286">
        <v>110</v>
      </c>
      <c r="J9" s="286">
        <v>120</v>
      </c>
      <c r="K9" s="281" t="s">
        <v>299</v>
      </c>
    </row>
    <row r="10" spans="1:11 15904:15904" ht="15.75" x14ac:dyDescent="0.25">
      <c r="A10" s="285" t="s">
        <v>282</v>
      </c>
      <c r="B10" s="286" t="s">
        <v>300</v>
      </c>
      <c r="C10" s="286">
        <v>2023</v>
      </c>
      <c r="D10" s="286">
        <v>3</v>
      </c>
      <c r="E10" s="286">
        <v>8617</v>
      </c>
      <c r="F10" s="286" t="s">
        <v>301</v>
      </c>
      <c r="G10" s="286">
        <v>0</v>
      </c>
      <c r="H10" s="286">
        <v>0</v>
      </c>
      <c r="I10" s="286">
        <v>110</v>
      </c>
      <c r="J10" s="286">
        <v>120</v>
      </c>
      <c r="K10" s="281" t="s">
        <v>299</v>
      </c>
    </row>
    <row r="11" spans="1:11 15904:15904" ht="15.75" x14ac:dyDescent="0.25">
      <c r="A11" s="285" t="s">
        <v>194</v>
      </c>
      <c r="B11" s="286" t="s">
        <v>300</v>
      </c>
      <c r="C11" s="286">
        <v>2023</v>
      </c>
      <c r="D11" s="286">
        <v>3</v>
      </c>
      <c r="E11" s="286">
        <v>8617</v>
      </c>
      <c r="F11" s="286" t="s">
        <v>301</v>
      </c>
      <c r="G11" s="286">
        <v>0</v>
      </c>
      <c r="H11" s="286">
        <v>0</v>
      </c>
      <c r="I11" s="286">
        <v>110</v>
      </c>
      <c r="J11" s="286">
        <v>120</v>
      </c>
      <c r="K11" s="281" t="s">
        <v>299</v>
      </c>
    </row>
    <row r="12" spans="1:11 15904:15904" ht="15.75" x14ac:dyDescent="0.25">
      <c r="A12" s="285" t="s">
        <v>217</v>
      </c>
      <c r="B12" s="286" t="s">
        <v>300</v>
      </c>
      <c r="C12" s="286">
        <v>2023</v>
      </c>
      <c r="D12" s="286">
        <v>3</v>
      </c>
      <c r="E12" s="286">
        <v>8617</v>
      </c>
      <c r="F12" s="286" t="s">
        <v>301</v>
      </c>
      <c r="G12" s="286">
        <v>0</v>
      </c>
      <c r="H12" s="286">
        <v>0</v>
      </c>
      <c r="I12" s="286">
        <v>110</v>
      </c>
      <c r="J12" s="286">
        <v>120</v>
      </c>
      <c r="K12" s="281" t="s">
        <v>299</v>
      </c>
    </row>
    <row r="13" spans="1:11 15904:15904" ht="15.75" x14ac:dyDescent="0.25">
      <c r="A13" s="285" t="s">
        <v>215</v>
      </c>
      <c r="B13" s="286" t="s">
        <v>300</v>
      </c>
      <c r="C13" s="286">
        <v>2023</v>
      </c>
      <c r="D13" s="286">
        <v>3</v>
      </c>
      <c r="E13" s="286">
        <v>8617</v>
      </c>
      <c r="F13" s="286" t="s">
        <v>301</v>
      </c>
      <c r="G13" s="286">
        <v>0</v>
      </c>
      <c r="H13" s="286">
        <v>0</v>
      </c>
      <c r="I13" s="286">
        <v>112</v>
      </c>
      <c r="J13" s="286">
        <v>120</v>
      </c>
      <c r="K13" s="281" t="s">
        <v>299</v>
      </c>
    </row>
    <row r="14" spans="1:11 15904:15904" ht="15.75" x14ac:dyDescent="0.25">
      <c r="A14" s="285" t="s">
        <v>216</v>
      </c>
      <c r="B14" s="286" t="s">
        <v>300</v>
      </c>
      <c r="C14" s="286">
        <v>2023</v>
      </c>
      <c r="D14" s="286">
        <v>3</v>
      </c>
      <c r="E14" s="286">
        <v>8617</v>
      </c>
      <c r="F14" s="286" t="s">
        <v>301</v>
      </c>
      <c r="G14" s="286">
        <v>0</v>
      </c>
      <c r="H14" s="286">
        <v>0</v>
      </c>
      <c r="I14" s="286">
        <v>110</v>
      </c>
      <c r="J14" s="286">
        <v>120</v>
      </c>
      <c r="K14" s="281" t="s">
        <v>299</v>
      </c>
    </row>
    <row r="15" spans="1:11 15904:15904" ht="15.75" x14ac:dyDescent="0.25">
      <c r="A15" s="285" t="s">
        <v>281</v>
      </c>
      <c r="B15" s="286" t="s">
        <v>300</v>
      </c>
      <c r="C15" s="286">
        <v>2023</v>
      </c>
      <c r="D15" s="286">
        <v>3</v>
      </c>
      <c r="E15" s="286">
        <v>8617</v>
      </c>
      <c r="F15" s="286" t="s">
        <v>301</v>
      </c>
      <c r="G15" s="286">
        <v>0</v>
      </c>
      <c r="H15" s="286">
        <v>0</v>
      </c>
      <c r="I15" s="286">
        <v>110</v>
      </c>
      <c r="J15" s="286">
        <v>120</v>
      </c>
      <c r="K15" s="281" t="s">
        <v>299</v>
      </c>
    </row>
    <row r="16" spans="1:11 15904:15904" ht="15.75" x14ac:dyDescent="0.25">
      <c r="A16" s="285" t="s">
        <v>170</v>
      </c>
      <c r="B16" s="286" t="s">
        <v>300</v>
      </c>
      <c r="C16" s="286">
        <v>2023</v>
      </c>
      <c r="D16" s="286">
        <v>3</v>
      </c>
      <c r="E16" s="286">
        <v>8617</v>
      </c>
      <c r="F16" s="286" t="s">
        <v>301</v>
      </c>
      <c r="G16" s="286">
        <v>0</v>
      </c>
      <c r="H16" s="286">
        <v>0</v>
      </c>
      <c r="I16" s="286">
        <v>110</v>
      </c>
      <c r="J16" s="286">
        <v>120</v>
      </c>
      <c r="K16" s="281" t="s">
        <v>299</v>
      </c>
    </row>
    <row r="17" spans="1:11" ht="15.75" x14ac:dyDescent="0.25">
      <c r="A17" s="285" t="s">
        <v>171</v>
      </c>
      <c r="B17" s="286" t="s">
        <v>300</v>
      </c>
      <c r="C17" s="286">
        <v>2023</v>
      </c>
      <c r="D17" s="286">
        <v>3</v>
      </c>
      <c r="E17" s="286">
        <v>8617</v>
      </c>
      <c r="F17" s="286" t="s">
        <v>301</v>
      </c>
      <c r="G17" s="286">
        <v>0</v>
      </c>
      <c r="H17" s="286">
        <v>0</v>
      </c>
      <c r="I17" s="286">
        <v>111</v>
      </c>
      <c r="J17" s="286">
        <v>120</v>
      </c>
      <c r="K17" s="281" t="s">
        <v>299</v>
      </c>
    </row>
    <row r="18" spans="1:11" ht="15.75" x14ac:dyDescent="0.25">
      <c r="A18" s="285" t="s">
        <v>205</v>
      </c>
      <c r="B18" s="286" t="s">
        <v>300</v>
      </c>
      <c r="C18" s="286">
        <v>2023</v>
      </c>
      <c r="D18" s="286">
        <v>3</v>
      </c>
      <c r="E18" s="286">
        <v>8617</v>
      </c>
      <c r="F18" s="286" t="s">
        <v>301</v>
      </c>
      <c r="G18" s="286">
        <v>0</v>
      </c>
      <c r="H18" s="286">
        <v>0</v>
      </c>
      <c r="I18" s="286">
        <v>110</v>
      </c>
      <c r="J18" s="286">
        <v>120</v>
      </c>
      <c r="K18" s="281" t="s">
        <v>299</v>
      </c>
    </row>
    <row r="19" spans="1:11" ht="15.75" x14ac:dyDescent="0.25">
      <c r="A19" s="285" t="s">
        <v>169</v>
      </c>
      <c r="B19" s="286" t="s">
        <v>300</v>
      </c>
      <c r="C19" s="286">
        <v>2023</v>
      </c>
      <c r="D19" s="286">
        <v>3</v>
      </c>
      <c r="E19" s="286">
        <v>8617</v>
      </c>
      <c r="F19" s="286" t="s">
        <v>301</v>
      </c>
      <c r="G19" s="286">
        <v>0</v>
      </c>
      <c r="H19" s="286">
        <v>0</v>
      </c>
      <c r="I19" s="286">
        <v>112</v>
      </c>
      <c r="J19" s="286">
        <v>120</v>
      </c>
      <c r="K19" s="281" t="s">
        <v>299</v>
      </c>
    </row>
    <row r="20" spans="1:11" ht="15.75" x14ac:dyDescent="0.25">
      <c r="A20" s="285" t="s">
        <v>251</v>
      </c>
      <c r="B20" s="286" t="s">
        <v>300</v>
      </c>
      <c r="C20" s="286">
        <v>2023</v>
      </c>
      <c r="D20" s="286">
        <v>3</v>
      </c>
      <c r="E20" s="286">
        <v>8617</v>
      </c>
      <c r="F20" s="286" t="s">
        <v>301</v>
      </c>
      <c r="G20" s="286">
        <v>0</v>
      </c>
      <c r="H20" s="286">
        <v>0</v>
      </c>
      <c r="I20" s="286">
        <v>110</v>
      </c>
      <c r="J20" s="286">
        <v>120</v>
      </c>
      <c r="K20" s="281" t="s">
        <v>299</v>
      </c>
    </row>
    <row r="21" spans="1:11" ht="15.75" x14ac:dyDescent="0.25">
      <c r="A21" s="285" t="s">
        <v>213</v>
      </c>
      <c r="B21" s="286" t="s">
        <v>300</v>
      </c>
      <c r="C21" s="286">
        <v>2023</v>
      </c>
      <c r="D21" s="286">
        <v>3</v>
      </c>
      <c r="E21" s="286">
        <v>8617</v>
      </c>
      <c r="F21" s="286" t="s">
        <v>301</v>
      </c>
      <c r="G21" s="286">
        <v>0</v>
      </c>
      <c r="H21" s="286">
        <v>0</v>
      </c>
      <c r="I21" s="286">
        <v>110</v>
      </c>
      <c r="J21" s="286">
        <v>120</v>
      </c>
      <c r="K21" s="281" t="s">
        <v>299</v>
      </c>
    </row>
    <row r="22" spans="1:11" ht="15.75" x14ac:dyDescent="0.25">
      <c r="A22" s="285" t="s">
        <v>173</v>
      </c>
      <c r="B22" s="286" t="s">
        <v>300</v>
      </c>
      <c r="C22" s="286">
        <v>2023</v>
      </c>
      <c r="D22" s="286">
        <v>3</v>
      </c>
      <c r="E22" s="286">
        <v>8617</v>
      </c>
      <c r="F22" s="286" t="s">
        <v>301</v>
      </c>
      <c r="G22" s="286">
        <v>0</v>
      </c>
      <c r="H22" s="286">
        <v>0</v>
      </c>
      <c r="I22" s="286">
        <v>110</v>
      </c>
      <c r="J22" s="286">
        <v>120</v>
      </c>
      <c r="K22" s="281" t="s">
        <v>299</v>
      </c>
    </row>
    <row r="23" spans="1:11" ht="15.75" x14ac:dyDescent="0.25">
      <c r="A23" s="285" t="s">
        <v>184</v>
      </c>
      <c r="B23" s="286" t="s">
        <v>300</v>
      </c>
      <c r="C23" s="286">
        <v>2023</v>
      </c>
      <c r="D23" s="286">
        <v>3</v>
      </c>
      <c r="E23" s="286">
        <v>8617</v>
      </c>
      <c r="F23" s="286" t="s">
        <v>301</v>
      </c>
      <c r="G23" s="286">
        <v>0</v>
      </c>
      <c r="H23" s="286">
        <v>0</v>
      </c>
      <c r="I23" s="286">
        <v>110</v>
      </c>
      <c r="J23" s="286">
        <v>120</v>
      </c>
      <c r="K23" s="281" t="s">
        <v>299</v>
      </c>
    </row>
    <row r="24" spans="1:11" ht="15.75" x14ac:dyDescent="0.25">
      <c r="A24" s="285" t="s">
        <v>195</v>
      </c>
      <c r="B24" s="286" t="s">
        <v>300</v>
      </c>
      <c r="C24" s="286">
        <v>2023</v>
      </c>
      <c r="D24" s="286">
        <v>3</v>
      </c>
      <c r="E24" s="286">
        <v>8617</v>
      </c>
      <c r="F24" s="286" t="s">
        <v>301</v>
      </c>
      <c r="G24" s="286">
        <v>0</v>
      </c>
      <c r="H24" s="286">
        <v>0</v>
      </c>
      <c r="I24" s="286">
        <v>112</v>
      </c>
      <c r="J24" s="286">
        <v>120</v>
      </c>
      <c r="K24" s="281" t="s">
        <v>299</v>
      </c>
    </row>
    <row r="25" spans="1:11" ht="15.75" x14ac:dyDescent="0.25">
      <c r="A25" s="285" t="s">
        <v>200</v>
      </c>
      <c r="B25" s="286" t="s">
        <v>300</v>
      </c>
      <c r="C25" s="286">
        <v>2023</v>
      </c>
      <c r="D25" s="286">
        <v>3</v>
      </c>
      <c r="E25" s="286">
        <v>8617</v>
      </c>
      <c r="F25" s="286" t="s">
        <v>301</v>
      </c>
      <c r="G25" s="286">
        <v>0</v>
      </c>
      <c r="H25" s="286">
        <v>0</v>
      </c>
      <c r="I25" s="286">
        <v>110</v>
      </c>
      <c r="J25" s="286">
        <v>120</v>
      </c>
      <c r="K25" s="281" t="s">
        <v>299</v>
      </c>
    </row>
    <row r="26" spans="1:11" ht="15.75" x14ac:dyDescent="0.25">
      <c r="A26" s="285" t="s">
        <v>228</v>
      </c>
      <c r="B26" s="286" t="s">
        <v>300</v>
      </c>
      <c r="C26" s="286">
        <v>2023</v>
      </c>
      <c r="D26" s="286">
        <v>3</v>
      </c>
      <c r="E26" s="286">
        <v>8617</v>
      </c>
      <c r="F26" s="286" t="s">
        <v>301</v>
      </c>
      <c r="G26" s="286">
        <v>0</v>
      </c>
      <c r="H26" s="286">
        <v>0</v>
      </c>
      <c r="I26" s="286">
        <v>110</v>
      </c>
      <c r="J26" s="286">
        <v>120</v>
      </c>
      <c r="K26" s="281" t="s">
        <v>299</v>
      </c>
    </row>
    <row r="27" spans="1:11" ht="15.75" x14ac:dyDescent="0.25">
      <c r="A27" s="285" t="s">
        <v>172</v>
      </c>
      <c r="B27" s="286" t="s">
        <v>300</v>
      </c>
      <c r="C27" s="286">
        <v>2023</v>
      </c>
      <c r="D27" s="286">
        <v>3</v>
      </c>
      <c r="E27" s="286">
        <v>8617</v>
      </c>
      <c r="F27" s="286" t="s">
        <v>301</v>
      </c>
      <c r="G27" s="286">
        <v>0</v>
      </c>
      <c r="H27" s="286">
        <v>0</v>
      </c>
      <c r="I27" s="286">
        <v>110</v>
      </c>
      <c r="J27" s="286">
        <v>120</v>
      </c>
      <c r="K27" s="281" t="s">
        <v>299</v>
      </c>
    </row>
    <row r="28" spans="1:11" ht="15.75" x14ac:dyDescent="0.25">
      <c r="A28" s="285" t="s">
        <v>149</v>
      </c>
      <c r="B28" s="286" t="s">
        <v>300</v>
      </c>
      <c r="C28" s="286">
        <v>2023</v>
      </c>
      <c r="D28" s="286">
        <v>3</v>
      </c>
      <c r="E28" s="286">
        <v>8617</v>
      </c>
      <c r="F28" s="286" t="s">
        <v>301</v>
      </c>
      <c r="G28" s="286">
        <v>0</v>
      </c>
      <c r="H28" s="286">
        <v>0</v>
      </c>
      <c r="I28" s="286">
        <v>110</v>
      </c>
      <c r="J28" s="286">
        <v>120</v>
      </c>
      <c r="K28" s="281" t="s">
        <v>299</v>
      </c>
    </row>
    <row r="29" spans="1:11" ht="15.75" x14ac:dyDescent="0.25">
      <c r="A29" s="285" t="s">
        <v>147</v>
      </c>
      <c r="B29" s="286" t="s">
        <v>300</v>
      </c>
      <c r="C29" s="286">
        <v>2023</v>
      </c>
      <c r="D29" s="286">
        <v>3</v>
      </c>
      <c r="E29" s="286">
        <v>8617</v>
      </c>
      <c r="F29" s="286" t="s">
        <v>301</v>
      </c>
      <c r="G29" s="286">
        <v>0</v>
      </c>
      <c r="H29" s="286">
        <v>0</v>
      </c>
      <c r="I29" s="286">
        <v>110</v>
      </c>
      <c r="J29" s="286">
        <v>120</v>
      </c>
      <c r="K29" s="281" t="s">
        <v>299</v>
      </c>
    </row>
    <row r="30" spans="1:11" ht="15.75" x14ac:dyDescent="0.25">
      <c r="A30" s="285" t="s">
        <v>181</v>
      </c>
      <c r="B30" s="286" t="s">
        <v>300</v>
      </c>
      <c r="C30" s="286">
        <v>2023</v>
      </c>
      <c r="D30" s="286">
        <v>3</v>
      </c>
      <c r="E30" s="286">
        <v>8617</v>
      </c>
      <c r="F30" s="286" t="s">
        <v>301</v>
      </c>
      <c r="G30" s="286">
        <v>0</v>
      </c>
      <c r="H30" s="286">
        <v>0</v>
      </c>
      <c r="I30" s="286">
        <v>110</v>
      </c>
      <c r="J30" s="286">
        <v>120</v>
      </c>
      <c r="K30" s="281" t="s">
        <v>299</v>
      </c>
    </row>
    <row r="31" spans="1:11" ht="15.75" x14ac:dyDescent="0.25">
      <c r="A31" s="285" t="s">
        <v>235</v>
      </c>
      <c r="B31" s="286" t="s">
        <v>300</v>
      </c>
      <c r="C31" s="286">
        <v>2023</v>
      </c>
      <c r="D31" s="286">
        <v>3</v>
      </c>
      <c r="E31" s="286">
        <v>8617</v>
      </c>
      <c r="F31" s="286" t="s">
        <v>301</v>
      </c>
      <c r="G31" s="286">
        <v>0</v>
      </c>
      <c r="H31" s="286">
        <v>0</v>
      </c>
      <c r="I31" s="286">
        <v>110</v>
      </c>
      <c r="J31" s="286">
        <v>120</v>
      </c>
      <c r="K31" s="281" t="s">
        <v>299</v>
      </c>
    </row>
    <row r="32" spans="1:11" ht="15.75" x14ac:dyDescent="0.25">
      <c r="A32" s="285" t="s">
        <v>177</v>
      </c>
      <c r="B32" s="286" t="s">
        <v>300</v>
      </c>
      <c r="C32" s="286">
        <v>2023</v>
      </c>
      <c r="D32" s="286">
        <v>3</v>
      </c>
      <c r="E32" s="286">
        <v>8617</v>
      </c>
      <c r="F32" s="286" t="s">
        <v>301</v>
      </c>
      <c r="G32" s="286">
        <v>0</v>
      </c>
      <c r="H32" s="286">
        <v>0</v>
      </c>
      <c r="I32" s="286">
        <v>110</v>
      </c>
      <c r="J32" s="286">
        <v>120</v>
      </c>
      <c r="K32" s="281" t="s">
        <v>299</v>
      </c>
    </row>
    <row r="33" spans="1:11" ht="15.75" x14ac:dyDescent="0.25">
      <c r="A33" s="285" t="s">
        <v>240</v>
      </c>
      <c r="B33" s="286" t="s">
        <v>300</v>
      </c>
      <c r="C33" s="286">
        <v>2023</v>
      </c>
      <c r="D33" s="286">
        <v>3</v>
      </c>
      <c r="E33" s="286">
        <v>8617</v>
      </c>
      <c r="F33" s="286" t="s">
        <v>301</v>
      </c>
      <c r="G33" s="286">
        <v>0</v>
      </c>
      <c r="H33" s="286">
        <v>0</v>
      </c>
      <c r="I33" s="286">
        <v>110</v>
      </c>
      <c r="J33" s="286">
        <v>120</v>
      </c>
      <c r="K33" s="281" t="s">
        <v>299</v>
      </c>
    </row>
    <row r="34" spans="1:11" ht="15.75" x14ac:dyDescent="0.25">
      <c r="A34" s="285" t="s">
        <v>243</v>
      </c>
      <c r="B34" s="286" t="s">
        <v>300</v>
      </c>
      <c r="C34" s="286">
        <v>2023</v>
      </c>
      <c r="D34" s="286">
        <v>3</v>
      </c>
      <c r="E34" s="286">
        <v>8617</v>
      </c>
      <c r="F34" s="286" t="s">
        <v>301</v>
      </c>
      <c r="G34" s="286">
        <v>0</v>
      </c>
      <c r="H34" s="286">
        <v>0</v>
      </c>
      <c r="I34" s="286">
        <v>110</v>
      </c>
      <c r="J34" s="286">
        <v>120</v>
      </c>
      <c r="K34" s="281" t="s">
        <v>299</v>
      </c>
    </row>
    <row r="35" spans="1:11" ht="15.75" x14ac:dyDescent="0.25">
      <c r="A35" s="285" t="s">
        <v>265</v>
      </c>
      <c r="B35" s="286" t="s">
        <v>300</v>
      </c>
      <c r="C35" s="286">
        <v>2023</v>
      </c>
      <c r="D35" s="286">
        <v>3</v>
      </c>
      <c r="E35" s="286">
        <v>8617</v>
      </c>
      <c r="F35" s="286" t="s">
        <v>301</v>
      </c>
      <c r="G35" s="286">
        <v>0</v>
      </c>
      <c r="H35" s="286">
        <v>0</v>
      </c>
      <c r="I35" s="286">
        <v>110</v>
      </c>
      <c r="J35" s="286">
        <v>120</v>
      </c>
      <c r="K35" s="281" t="s">
        <v>299</v>
      </c>
    </row>
    <row r="36" spans="1:11" ht="15.75" x14ac:dyDescent="0.25">
      <c r="A36" s="285" t="s">
        <v>143</v>
      </c>
      <c r="B36" s="286" t="s">
        <v>300</v>
      </c>
      <c r="C36" s="286">
        <v>2023</v>
      </c>
      <c r="D36" s="286">
        <v>3</v>
      </c>
      <c r="E36" s="286">
        <v>8617</v>
      </c>
      <c r="F36" s="286" t="s">
        <v>301</v>
      </c>
      <c r="G36" s="286">
        <v>0</v>
      </c>
      <c r="H36" s="286">
        <v>0</v>
      </c>
      <c r="I36" s="286">
        <v>110</v>
      </c>
      <c r="J36" s="286">
        <v>120</v>
      </c>
      <c r="K36" s="281" t="s">
        <v>299</v>
      </c>
    </row>
    <row r="37" spans="1:11" ht="15.75" x14ac:dyDescent="0.25">
      <c r="A37" s="285" t="s">
        <v>159</v>
      </c>
      <c r="B37" s="286" t="s">
        <v>300</v>
      </c>
      <c r="C37" s="286">
        <v>2023</v>
      </c>
      <c r="D37" s="286">
        <v>3</v>
      </c>
      <c r="E37" s="286">
        <v>8617</v>
      </c>
      <c r="F37" s="286" t="s">
        <v>301</v>
      </c>
      <c r="G37" s="286">
        <v>0</v>
      </c>
      <c r="H37" s="286">
        <v>0</v>
      </c>
      <c r="I37" s="286">
        <v>110</v>
      </c>
      <c r="J37" s="286">
        <v>120</v>
      </c>
      <c r="K37" s="281" t="s">
        <v>299</v>
      </c>
    </row>
    <row r="38" spans="1:11" ht="15.75" x14ac:dyDescent="0.25">
      <c r="A38" s="285" t="s">
        <v>168</v>
      </c>
      <c r="B38" s="286" t="s">
        <v>300</v>
      </c>
      <c r="C38" s="286">
        <v>2023</v>
      </c>
      <c r="D38" s="286">
        <v>3</v>
      </c>
      <c r="E38" s="286">
        <v>8617</v>
      </c>
      <c r="F38" s="286" t="s">
        <v>301</v>
      </c>
      <c r="G38" s="286">
        <v>0</v>
      </c>
      <c r="H38" s="286">
        <v>0</v>
      </c>
      <c r="I38" s="286">
        <v>110</v>
      </c>
      <c r="J38" s="286">
        <v>120</v>
      </c>
      <c r="K38" s="281" t="s">
        <v>299</v>
      </c>
    </row>
    <row r="39" spans="1:11" ht="15.75" x14ac:dyDescent="0.25">
      <c r="A39" s="285" t="s">
        <v>157</v>
      </c>
      <c r="B39" s="286" t="s">
        <v>300</v>
      </c>
      <c r="C39" s="286">
        <v>2023</v>
      </c>
      <c r="D39" s="286">
        <v>3</v>
      </c>
      <c r="E39" s="286">
        <v>8617</v>
      </c>
      <c r="F39" s="286" t="s">
        <v>301</v>
      </c>
      <c r="G39" s="286">
        <v>0</v>
      </c>
      <c r="H39" s="286">
        <v>0</v>
      </c>
      <c r="I39" s="286">
        <v>110</v>
      </c>
      <c r="J39" s="286">
        <v>120</v>
      </c>
      <c r="K39" s="281" t="s">
        <v>299</v>
      </c>
    </row>
    <row r="40" spans="1:11" ht="15.75" x14ac:dyDescent="0.25">
      <c r="A40" s="285" t="s">
        <v>249</v>
      </c>
      <c r="B40" s="286" t="s">
        <v>300</v>
      </c>
      <c r="C40" s="286">
        <v>2023</v>
      </c>
      <c r="D40" s="286">
        <v>3</v>
      </c>
      <c r="E40" s="286">
        <v>8617</v>
      </c>
      <c r="F40" s="286" t="s">
        <v>301</v>
      </c>
      <c r="G40" s="286">
        <v>0</v>
      </c>
      <c r="H40" s="286">
        <v>0</v>
      </c>
      <c r="I40" s="286">
        <v>110</v>
      </c>
      <c r="J40" s="286">
        <v>120</v>
      </c>
      <c r="K40" s="281" t="s">
        <v>299</v>
      </c>
    </row>
    <row r="41" spans="1:11" ht="15.75" x14ac:dyDescent="0.25">
      <c r="A41" s="285" t="s">
        <v>256</v>
      </c>
      <c r="B41" s="286" t="s">
        <v>300</v>
      </c>
      <c r="C41" s="286">
        <v>2023</v>
      </c>
      <c r="D41" s="286">
        <v>3</v>
      </c>
      <c r="E41" s="286">
        <v>8617</v>
      </c>
      <c r="F41" s="286" t="s">
        <v>301</v>
      </c>
      <c r="G41" s="286">
        <v>0</v>
      </c>
      <c r="H41" s="286">
        <v>0</v>
      </c>
      <c r="I41" s="286">
        <v>110</v>
      </c>
      <c r="J41" s="286">
        <v>120</v>
      </c>
      <c r="K41" s="281" t="s">
        <v>299</v>
      </c>
    </row>
    <row r="42" spans="1:11" ht="15.75" x14ac:dyDescent="0.25">
      <c r="A42" s="285" t="s">
        <v>284</v>
      </c>
      <c r="B42" s="286" t="s">
        <v>300</v>
      </c>
      <c r="C42" s="286">
        <v>2023</v>
      </c>
      <c r="D42" s="286">
        <v>3</v>
      </c>
      <c r="E42" s="286">
        <v>8617</v>
      </c>
      <c r="F42" s="286" t="s">
        <v>301</v>
      </c>
      <c r="G42" s="286">
        <v>0</v>
      </c>
      <c r="H42" s="286">
        <v>0</v>
      </c>
      <c r="I42" s="286">
        <v>110</v>
      </c>
      <c r="J42" s="286">
        <v>120</v>
      </c>
      <c r="K42" s="281" t="s">
        <v>299</v>
      </c>
    </row>
    <row r="43" spans="1:11" ht="15.75" x14ac:dyDescent="0.25">
      <c r="A43" s="285" t="s">
        <v>202</v>
      </c>
      <c r="B43" s="286" t="s">
        <v>300</v>
      </c>
      <c r="C43" s="286">
        <v>2023</v>
      </c>
      <c r="D43" s="286">
        <v>3</v>
      </c>
      <c r="E43" s="286">
        <v>8617</v>
      </c>
      <c r="F43" s="286" t="s">
        <v>301</v>
      </c>
      <c r="G43" s="286">
        <v>0</v>
      </c>
      <c r="H43" s="286">
        <v>0</v>
      </c>
      <c r="I43" s="286">
        <v>112</v>
      </c>
      <c r="J43" s="286">
        <v>120</v>
      </c>
      <c r="K43" s="281" t="s">
        <v>299</v>
      </c>
    </row>
    <row r="44" spans="1:11" ht="15.75" x14ac:dyDescent="0.25">
      <c r="A44" s="285" t="s">
        <v>180</v>
      </c>
      <c r="B44" s="286" t="s">
        <v>300</v>
      </c>
      <c r="C44" s="286">
        <v>2023</v>
      </c>
      <c r="D44" s="286">
        <v>3</v>
      </c>
      <c r="E44" s="286">
        <v>8617</v>
      </c>
      <c r="F44" s="286" t="s">
        <v>301</v>
      </c>
      <c r="G44" s="286">
        <v>0</v>
      </c>
      <c r="H44" s="286">
        <v>0</v>
      </c>
      <c r="I44" s="286">
        <v>110</v>
      </c>
      <c r="J44" s="286">
        <v>120</v>
      </c>
      <c r="K44" s="281" t="s">
        <v>299</v>
      </c>
    </row>
    <row r="45" spans="1:11" ht="15.75" x14ac:dyDescent="0.25">
      <c r="A45" s="285" t="s">
        <v>273</v>
      </c>
      <c r="B45" s="286" t="s">
        <v>300</v>
      </c>
      <c r="C45" s="286">
        <v>2023</v>
      </c>
      <c r="D45" s="286">
        <v>3</v>
      </c>
      <c r="E45" s="286">
        <v>8617</v>
      </c>
      <c r="F45" s="286" t="s">
        <v>301</v>
      </c>
      <c r="G45" s="286">
        <v>0</v>
      </c>
      <c r="H45" s="286">
        <v>0</v>
      </c>
      <c r="I45" s="286">
        <v>110</v>
      </c>
      <c r="J45" s="286">
        <v>120</v>
      </c>
      <c r="K45" s="281" t="s">
        <v>299</v>
      </c>
    </row>
    <row r="46" spans="1:11" ht="15.75" x14ac:dyDescent="0.25">
      <c r="A46" s="285" t="s">
        <v>163</v>
      </c>
      <c r="B46" s="286" t="s">
        <v>300</v>
      </c>
      <c r="C46" s="286">
        <v>2023</v>
      </c>
      <c r="D46" s="286">
        <v>3</v>
      </c>
      <c r="E46" s="286">
        <v>8617</v>
      </c>
      <c r="F46" s="286" t="s">
        <v>301</v>
      </c>
      <c r="G46" s="286">
        <v>0</v>
      </c>
      <c r="H46" s="286">
        <v>0</v>
      </c>
      <c r="I46" s="286">
        <v>110</v>
      </c>
      <c r="J46" s="286">
        <v>120</v>
      </c>
      <c r="K46" s="281" t="s">
        <v>299</v>
      </c>
    </row>
    <row r="47" spans="1:11" ht="15.75" x14ac:dyDescent="0.25">
      <c r="A47" s="285" t="s">
        <v>176</v>
      </c>
      <c r="B47" s="286" t="s">
        <v>300</v>
      </c>
      <c r="C47" s="286">
        <v>2023</v>
      </c>
      <c r="D47" s="286">
        <v>3</v>
      </c>
      <c r="E47" s="286">
        <v>8617</v>
      </c>
      <c r="F47" s="286" t="s">
        <v>301</v>
      </c>
      <c r="G47" s="286">
        <v>0</v>
      </c>
      <c r="H47" s="286">
        <v>0</v>
      </c>
      <c r="I47" s="286">
        <v>110</v>
      </c>
      <c r="J47" s="286">
        <v>120</v>
      </c>
      <c r="K47" s="281" t="s">
        <v>299</v>
      </c>
    </row>
    <row r="48" spans="1:11" ht="15.75" x14ac:dyDescent="0.25">
      <c r="A48" s="285" t="s">
        <v>182</v>
      </c>
      <c r="B48" s="286" t="s">
        <v>300</v>
      </c>
      <c r="C48" s="286">
        <v>2023</v>
      </c>
      <c r="D48" s="286">
        <v>3</v>
      </c>
      <c r="E48" s="286">
        <v>8617</v>
      </c>
      <c r="F48" s="286" t="s">
        <v>301</v>
      </c>
      <c r="G48" s="286">
        <v>0</v>
      </c>
      <c r="H48" s="286">
        <v>0</v>
      </c>
      <c r="I48" s="286">
        <v>110</v>
      </c>
      <c r="J48" s="286">
        <v>120</v>
      </c>
      <c r="K48" s="281" t="s">
        <v>299</v>
      </c>
    </row>
    <row r="49" spans="1:11" ht="15.75" x14ac:dyDescent="0.25">
      <c r="A49" s="285" t="s">
        <v>242</v>
      </c>
      <c r="B49" s="286" t="s">
        <v>300</v>
      </c>
      <c r="C49" s="286">
        <v>2023</v>
      </c>
      <c r="D49" s="286">
        <v>3</v>
      </c>
      <c r="E49" s="286">
        <v>8617</v>
      </c>
      <c r="F49" s="286" t="s">
        <v>301</v>
      </c>
      <c r="G49" s="286">
        <v>0</v>
      </c>
      <c r="H49" s="286">
        <v>0</v>
      </c>
      <c r="I49" s="286">
        <v>110</v>
      </c>
      <c r="J49" s="286">
        <v>120</v>
      </c>
      <c r="K49" s="281" t="s">
        <v>299</v>
      </c>
    </row>
    <row r="50" spans="1:11" ht="15.75" x14ac:dyDescent="0.25">
      <c r="A50" s="285" t="s">
        <v>183</v>
      </c>
      <c r="B50" s="286" t="s">
        <v>300</v>
      </c>
      <c r="C50" s="286">
        <v>2023</v>
      </c>
      <c r="D50" s="286">
        <v>3</v>
      </c>
      <c r="E50" s="286">
        <v>8617</v>
      </c>
      <c r="F50" s="286" t="s">
        <v>301</v>
      </c>
      <c r="G50" s="286">
        <v>0</v>
      </c>
      <c r="H50" s="286">
        <v>0</v>
      </c>
      <c r="I50" s="286">
        <v>112</v>
      </c>
      <c r="J50" s="286">
        <v>120</v>
      </c>
      <c r="K50" s="281" t="s">
        <v>299</v>
      </c>
    </row>
    <row r="51" spans="1:11" ht="15.75" x14ac:dyDescent="0.25">
      <c r="A51" s="285" t="s">
        <v>150</v>
      </c>
      <c r="B51" s="286" t="s">
        <v>300</v>
      </c>
      <c r="C51" s="286">
        <v>2023</v>
      </c>
      <c r="D51" s="286">
        <v>3</v>
      </c>
      <c r="E51" s="286">
        <v>8617</v>
      </c>
      <c r="F51" s="286" t="s">
        <v>301</v>
      </c>
      <c r="G51" s="286">
        <v>0</v>
      </c>
      <c r="H51" s="286">
        <v>0</v>
      </c>
      <c r="I51" s="286">
        <v>112</v>
      </c>
      <c r="J51" s="286">
        <v>120</v>
      </c>
      <c r="K51" s="281" t="s">
        <v>299</v>
      </c>
    </row>
    <row r="52" spans="1:11" ht="15.75" x14ac:dyDescent="0.25">
      <c r="A52" s="285" t="s">
        <v>165</v>
      </c>
      <c r="B52" s="286" t="s">
        <v>300</v>
      </c>
      <c r="C52" s="286">
        <v>2023</v>
      </c>
      <c r="D52" s="286">
        <v>3</v>
      </c>
      <c r="E52" s="286">
        <v>8617</v>
      </c>
      <c r="F52" s="286" t="s">
        <v>301</v>
      </c>
      <c r="G52" s="286">
        <v>0</v>
      </c>
      <c r="H52" s="286">
        <v>0</v>
      </c>
      <c r="I52" s="286">
        <v>110</v>
      </c>
      <c r="J52" s="286">
        <v>120</v>
      </c>
      <c r="K52" s="281" t="s">
        <v>299</v>
      </c>
    </row>
    <row r="53" spans="1:11" ht="15.75" x14ac:dyDescent="0.25">
      <c r="A53" s="285" t="s">
        <v>186</v>
      </c>
      <c r="B53" s="286" t="s">
        <v>300</v>
      </c>
      <c r="C53" s="286">
        <v>2023</v>
      </c>
      <c r="D53" s="286">
        <v>3</v>
      </c>
      <c r="E53" s="286">
        <v>8617</v>
      </c>
      <c r="F53" s="286" t="s">
        <v>301</v>
      </c>
      <c r="G53" s="286">
        <v>0</v>
      </c>
      <c r="H53" s="286">
        <v>0</v>
      </c>
      <c r="I53" s="286">
        <v>110</v>
      </c>
      <c r="J53" s="286">
        <v>120</v>
      </c>
      <c r="K53" s="281" t="s">
        <v>299</v>
      </c>
    </row>
    <row r="54" spans="1:11" ht="15.75" x14ac:dyDescent="0.25">
      <c r="A54" s="285" t="s">
        <v>151</v>
      </c>
      <c r="B54" s="286" t="s">
        <v>300</v>
      </c>
      <c r="C54" s="286">
        <v>2023</v>
      </c>
      <c r="D54" s="286">
        <v>3</v>
      </c>
      <c r="E54" s="286">
        <v>8617</v>
      </c>
      <c r="F54" s="286" t="s">
        <v>301</v>
      </c>
      <c r="G54" s="286">
        <v>0</v>
      </c>
      <c r="H54" s="286">
        <v>0</v>
      </c>
      <c r="I54" s="286">
        <v>110</v>
      </c>
      <c r="J54" s="286">
        <v>120</v>
      </c>
      <c r="K54" s="281" t="s">
        <v>299</v>
      </c>
    </row>
    <row r="55" spans="1:11" ht="15.75" x14ac:dyDescent="0.25">
      <c r="A55" s="285" t="s">
        <v>237</v>
      </c>
      <c r="B55" s="286" t="s">
        <v>300</v>
      </c>
      <c r="C55" s="286">
        <v>2023</v>
      </c>
      <c r="D55" s="286">
        <v>3</v>
      </c>
      <c r="E55" s="286">
        <v>8617</v>
      </c>
      <c r="F55" s="286" t="s">
        <v>301</v>
      </c>
      <c r="G55" s="286">
        <v>0</v>
      </c>
      <c r="H55" s="286">
        <v>0</v>
      </c>
      <c r="I55" s="286">
        <v>110</v>
      </c>
      <c r="J55" s="286">
        <v>120</v>
      </c>
      <c r="K55" s="281" t="s">
        <v>299</v>
      </c>
    </row>
    <row r="56" spans="1:11" ht="15.75" x14ac:dyDescent="0.25">
      <c r="A56" s="285" t="s">
        <v>231</v>
      </c>
      <c r="B56" s="286" t="s">
        <v>300</v>
      </c>
      <c r="C56" s="286">
        <v>2023</v>
      </c>
      <c r="D56" s="286">
        <v>3</v>
      </c>
      <c r="E56" s="286">
        <v>8617</v>
      </c>
      <c r="F56" s="286" t="s">
        <v>301</v>
      </c>
      <c r="G56" s="286">
        <v>0</v>
      </c>
      <c r="H56" s="286">
        <v>0</v>
      </c>
      <c r="I56" s="286">
        <v>110</v>
      </c>
      <c r="J56" s="286">
        <v>120</v>
      </c>
      <c r="K56" s="281" t="s">
        <v>299</v>
      </c>
    </row>
    <row r="57" spans="1:11" ht="15.75" x14ac:dyDescent="0.25">
      <c r="A57" s="285" t="s">
        <v>266</v>
      </c>
      <c r="B57" s="286" t="s">
        <v>300</v>
      </c>
      <c r="C57" s="286">
        <v>2023</v>
      </c>
      <c r="D57" s="286">
        <v>3</v>
      </c>
      <c r="E57" s="286">
        <v>8617</v>
      </c>
      <c r="F57" s="286" t="s">
        <v>301</v>
      </c>
      <c r="G57" s="286">
        <v>0</v>
      </c>
      <c r="H57" s="286">
        <v>0</v>
      </c>
      <c r="I57" s="286">
        <v>110</v>
      </c>
      <c r="J57" s="286">
        <v>120</v>
      </c>
      <c r="K57" s="281" t="s">
        <v>299</v>
      </c>
    </row>
    <row r="58" spans="1:11" ht="15.75" x14ac:dyDescent="0.25">
      <c r="A58" s="285" t="s">
        <v>267</v>
      </c>
      <c r="B58" s="286" t="s">
        <v>300</v>
      </c>
      <c r="C58" s="286">
        <v>2023</v>
      </c>
      <c r="D58" s="286">
        <v>3</v>
      </c>
      <c r="E58" s="286">
        <v>8617</v>
      </c>
      <c r="F58" s="286" t="s">
        <v>301</v>
      </c>
      <c r="G58" s="286">
        <v>0</v>
      </c>
      <c r="H58" s="286">
        <v>0</v>
      </c>
      <c r="I58" s="286">
        <v>110</v>
      </c>
      <c r="J58" s="286">
        <v>120</v>
      </c>
      <c r="K58" s="281" t="s">
        <v>299</v>
      </c>
    </row>
    <row r="59" spans="1:11" ht="15.75" x14ac:dyDescent="0.25">
      <c r="A59" s="285" t="s">
        <v>268</v>
      </c>
      <c r="B59" s="286" t="s">
        <v>300</v>
      </c>
      <c r="C59" s="286">
        <v>2023</v>
      </c>
      <c r="D59" s="286">
        <v>3</v>
      </c>
      <c r="E59" s="286">
        <v>8617</v>
      </c>
      <c r="F59" s="286" t="s">
        <v>301</v>
      </c>
      <c r="G59" s="286">
        <v>0</v>
      </c>
      <c r="H59" s="286">
        <v>0</v>
      </c>
      <c r="I59" s="286">
        <v>112</v>
      </c>
      <c r="J59" s="286">
        <v>120</v>
      </c>
      <c r="K59" s="281" t="s">
        <v>299</v>
      </c>
    </row>
    <row r="60" spans="1:11" ht="15.75" x14ac:dyDescent="0.25">
      <c r="A60" s="285" t="s">
        <v>270</v>
      </c>
      <c r="B60" s="286" t="s">
        <v>300</v>
      </c>
      <c r="C60" s="286">
        <v>2023</v>
      </c>
      <c r="D60" s="286">
        <v>3</v>
      </c>
      <c r="E60" s="286">
        <v>8617</v>
      </c>
      <c r="F60" s="286" t="s">
        <v>301</v>
      </c>
      <c r="G60" s="286">
        <v>0</v>
      </c>
      <c r="H60" s="286">
        <v>0</v>
      </c>
      <c r="I60" s="286">
        <v>112</v>
      </c>
      <c r="J60" s="286">
        <v>120</v>
      </c>
      <c r="K60" s="281" t="s">
        <v>299</v>
      </c>
    </row>
    <row r="61" spans="1:11" ht="15.75" x14ac:dyDescent="0.25">
      <c r="A61" s="285" t="s">
        <v>155</v>
      </c>
      <c r="B61" s="286" t="s">
        <v>300</v>
      </c>
      <c r="C61" s="286">
        <v>2023</v>
      </c>
      <c r="D61" s="286">
        <v>3</v>
      </c>
      <c r="E61" s="286">
        <v>8617</v>
      </c>
      <c r="F61" s="286" t="s">
        <v>301</v>
      </c>
      <c r="G61" s="286">
        <v>0</v>
      </c>
      <c r="H61" s="286">
        <v>0</v>
      </c>
      <c r="I61" s="286">
        <v>110</v>
      </c>
      <c r="J61" s="286">
        <v>120</v>
      </c>
      <c r="K61" s="281" t="s">
        <v>299</v>
      </c>
    </row>
    <row r="62" spans="1:11" ht="15.75" x14ac:dyDescent="0.25">
      <c r="A62" s="285" t="s">
        <v>272</v>
      </c>
      <c r="B62" s="286" t="s">
        <v>300</v>
      </c>
      <c r="C62" s="286">
        <v>2023</v>
      </c>
      <c r="D62" s="286">
        <v>3</v>
      </c>
      <c r="E62" s="286">
        <v>8617</v>
      </c>
      <c r="F62" s="286" t="s">
        <v>301</v>
      </c>
      <c r="G62" s="286">
        <v>0</v>
      </c>
      <c r="H62" s="286">
        <v>0</v>
      </c>
      <c r="I62" s="286">
        <v>110</v>
      </c>
      <c r="J62" s="286">
        <v>120</v>
      </c>
      <c r="K62" s="281" t="s">
        <v>299</v>
      </c>
    </row>
    <row r="63" spans="1:11" ht="15.75" x14ac:dyDescent="0.25">
      <c r="A63" s="285" t="s">
        <v>274</v>
      </c>
      <c r="B63" s="286" t="s">
        <v>300</v>
      </c>
      <c r="C63" s="286">
        <v>2023</v>
      </c>
      <c r="D63" s="286">
        <v>3</v>
      </c>
      <c r="E63" s="286">
        <v>8617</v>
      </c>
      <c r="F63" s="286" t="s">
        <v>301</v>
      </c>
      <c r="G63" s="286">
        <v>0</v>
      </c>
      <c r="H63" s="286">
        <v>0</v>
      </c>
      <c r="I63" s="286">
        <v>110</v>
      </c>
      <c r="J63" s="286">
        <v>120</v>
      </c>
      <c r="K63" s="281" t="s">
        <v>299</v>
      </c>
    </row>
    <row r="64" spans="1:11" ht="15.75" x14ac:dyDescent="0.25">
      <c r="A64" s="285" t="s">
        <v>275</v>
      </c>
      <c r="B64" s="286" t="s">
        <v>300</v>
      </c>
      <c r="C64" s="286">
        <v>2023</v>
      </c>
      <c r="D64" s="286">
        <v>3</v>
      </c>
      <c r="E64" s="286">
        <v>8617</v>
      </c>
      <c r="F64" s="286" t="s">
        <v>301</v>
      </c>
      <c r="G64" s="286">
        <v>0</v>
      </c>
      <c r="H64" s="286">
        <v>0</v>
      </c>
      <c r="I64" s="286">
        <v>109</v>
      </c>
      <c r="J64" s="286">
        <v>120</v>
      </c>
      <c r="K64" s="281" t="s">
        <v>299</v>
      </c>
    </row>
    <row r="65" spans="1:11" ht="15.75" x14ac:dyDescent="0.25">
      <c r="A65" s="285" t="s">
        <v>276</v>
      </c>
      <c r="B65" s="286" t="s">
        <v>300</v>
      </c>
      <c r="C65" s="286">
        <v>2023</v>
      </c>
      <c r="D65" s="286">
        <v>3</v>
      </c>
      <c r="E65" s="286">
        <v>8617</v>
      </c>
      <c r="F65" s="286" t="s">
        <v>301</v>
      </c>
      <c r="G65" s="286">
        <v>0</v>
      </c>
      <c r="H65" s="286">
        <v>0</v>
      </c>
      <c r="I65" s="286">
        <v>110</v>
      </c>
      <c r="J65" s="286">
        <v>120</v>
      </c>
      <c r="K65" s="281" t="s">
        <v>299</v>
      </c>
    </row>
    <row r="66" spans="1:11" ht="15.75" x14ac:dyDescent="0.25">
      <c r="A66" s="285" t="s">
        <v>277</v>
      </c>
      <c r="B66" s="286" t="s">
        <v>300</v>
      </c>
      <c r="C66" s="286">
        <v>2023</v>
      </c>
      <c r="D66" s="286">
        <v>3</v>
      </c>
      <c r="E66" s="286">
        <v>8617</v>
      </c>
      <c r="F66" s="286" t="s">
        <v>301</v>
      </c>
      <c r="G66" s="286">
        <v>0</v>
      </c>
      <c r="H66" s="286">
        <v>0</v>
      </c>
      <c r="I66" s="286">
        <v>112</v>
      </c>
      <c r="J66" s="286">
        <v>120</v>
      </c>
      <c r="K66" s="281" t="s">
        <v>299</v>
      </c>
    </row>
    <row r="67" spans="1:11" ht="15.75" x14ac:dyDescent="0.25">
      <c r="A67" s="285" t="s">
        <v>208</v>
      </c>
      <c r="B67" s="286" t="s">
        <v>300</v>
      </c>
      <c r="C67" s="286">
        <v>2023</v>
      </c>
      <c r="D67" s="286">
        <v>3</v>
      </c>
      <c r="E67" s="286">
        <v>8617</v>
      </c>
      <c r="F67" s="286" t="s">
        <v>301</v>
      </c>
      <c r="G67" s="286">
        <v>0</v>
      </c>
      <c r="H67" s="286">
        <v>0</v>
      </c>
      <c r="I67" s="286">
        <v>110</v>
      </c>
      <c r="J67" s="286">
        <v>120</v>
      </c>
      <c r="K67" s="281" t="s">
        <v>299</v>
      </c>
    </row>
    <row r="68" spans="1:11" ht="15.75" x14ac:dyDescent="0.25">
      <c r="A68" s="285" t="s">
        <v>278</v>
      </c>
      <c r="B68" s="286" t="s">
        <v>300</v>
      </c>
      <c r="C68" s="286">
        <v>2023</v>
      </c>
      <c r="D68" s="286">
        <v>3</v>
      </c>
      <c r="E68" s="286">
        <v>8617</v>
      </c>
      <c r="F68" s="286" t="s">
        <v>301</v>
      </c>
      <c r="G68" s="286">
        <v>0</v>
      </c>
      <c r="H68" s="286">
        <v>0</v>
      </c>
      <c r="I68" s="286">
        <v>110</v>
      </c>
      <c r="J68" s="286">
        <v>120</v>
      </c>
      <c r="K68" s="281" t="s">
        <v>299</v>
      </c>
    </row>
    <row r="69" spans="1:11" ht="15.75" x14ac:dyDescent="0.25">
      <c r="A69" s="285" t="s">
        <v>279</v>
      </c>
      <c r="B69" s="286" t="s">
        <v>300</v>
      </c>
      <c r="C69" s="286">
        <v>2023</v>
      </c>
      <c r="D69" s="286">
        <v>3</v>
      </c>
      <c r="E69" s="286">
        <v>8617</v>
      </c>
      <c r="F69" s="286" t="s">
        <v>301</v>
      </c>
      <c r="G69" s="286">
        <v>0</v>
      </c>
      <c r="H69" s="286">
        <v>0</v>
      </c>
      <c r="I69" s="286">
        <v>110</v>
      </c>
      <c r="J69" s="286">
        <v>120</v>
      </c>
      <c r="K69" s="281" t="s">
        <v>299</v>
      </c>
    </row>
    <row r="70" spans="1:11" ht="15.75" x14ac:dyDescent="0.25">
      <c r="A70" s="285" t="s">
        <v>280</v>
      </c>
      <c r="B70" s="286" t="s">
        <v>300</v>
      </c>
      <c r="C70" s="286">
        <v>2023</v>
      </c>
      <c r="D70" s="286">
        <v>3</v>
      </c>
      <c r="E70" s="286">
        <v>8617</v>
      </c>
      <c r="F70" s="286" t="s">
        <v>301</v>
      </c>
      <c r="G70" s="286">
        <v>0</v>
      </c>
      <c r="H70" s="286">
        <v>0</v>
      </c>
      <c r="I70" s="286">
        <v>110</v>
      </c>
      <c r="J70" s="286">
        <v>120</v>
      </c>
      <c r="K70" s="281" t="s">
        <v>299</v>
      </c>
    </row>
    <row r="71" spans="1:11" ht="15.75" x14ac:dyDescent="0.25">
      <c r="A71" s="285" t="s">
        <v>257</v>
      </c>
      <c r="B71" s="286" t="s">
        <v>300</v>
      </c>
      <c r="C71" s="286">
        <v>2023</v>
      </c>
      <c r="D71" s="286">
        <v>3</v>
      </c>
      <c r="E71" s="286">
        <v>8617</v>
      </c>
      <c r="F71" s="286" t="s">
        <v>301</v>
      </c>
      <c r="G71" s="286">
        <v>0</v>
      </c>
      <c r="H71" s="286">
        <v>0</v>
      </c>
      <c r="I71" s="286">
        <v>110</v>
      </c>
      <c r="J71" s="286">
        <v>120</v>
      </c>
      <c r="K71" s="281" t="s">
        <v>299</v>
      </c>
    </row>
    <row r="72" spans="1:11" ht="15.75" x14ac:dyDescent="0.25">
      <c r="A72" s="285" t="s">
        <v>241</v>
      </c>
      <c r="B72" s="286" t="s">
        <v>300</v>
      </c>
      <c r="C72" s="286">
        <v>2023</v>
      </c>
      <c r="D72" s="286">
        <v>3</v>
      </c>
      <c r="E72" s="286">
        <v>8617</v>
      </c>
      <c r="F72" s="286" t="s">
        <v>301</v>
      </c>
      <c r="G72" s="286">
        <v>0</v>
      </c>
      <c r="H72" s="286">
        <v>0</v>
      </c>
      <c r="I72" s="286">
        <v>110</v>
      </c>
      <c r="J72" s="286">
        <v>120</v>
      </c>
      <c r="K72" s="281" t="s">
        <v>299</v>
      </c>
    </row>
    <row r="73" spans="1:11" ht="15.75" x14ac:dyDescent="0.25">
      <c r="A73" s="285" t="s">
        <v>224</v>
      </c>
      <c r="B73" s="286" t="s">
        <v>300</v>
      </c>
      <c r="C73" s="286">
        <v>2023</v>
      </c>
      <c r="D73" s="286">
        <v>3</v>
      </c>
      <c r="E73" s="286">
        <v>8617</v>
      </c>
      <c r="F73" s="286" t="s">
        <v>301</v>
      </c>
      <c r="G73" s="286">
        <v>0</v>
      </c>
      <c r="H73" s="286">
        <v>0</v>
      </c>
      <c r="I73" s="286">
        <v>110</v>
      </c>
      <c r="J73" s="286">
        <v>120</v>
      </c>
      <c r="K73" s="281" t="s">
        <v>299</v>
      </c>
    </row>
    <row r="74" spans="1:11" ht="15.75" x14ac:dyDescent="0.25">
      <c r="A74" s="285" t="s">
        <v>250</v>
      </c>
      <c r="B74" s="286" t="s">
        <v>300</v>
      </c>
      <c r="C74" s="286">
        <v>2023</v>
      </c>
      <c r="D74" s="286">
        <v>3</v>
      </c>
      <c r="E74" s="286">
        <v>8617</v>
      </c>
      <c r="F74" s="286" t="s">
        <v>301</v>
      </c>
      <c r="G74" s="286">
        <v>0</v>
      </c>
      <c r="H74" s="286">
        <v>0</v>
      </c>
      <c r="I74" s="286">
        <v>110</v>
      </c>
      <c r="J74" s="286">
        <v>120</v>
      </c>
      <c r="K74" s="281" t="s">
        <v>299</v>
      </c>
    </row>
    <row r="75" spans="1:11" ht="15.75" x14ac:dyDescent="0.25">
      <c r="A75" s="285" t="s">
        <v>214</v>
      </c>
      <c r="B75" s="286" t="s">
        <v>300</v>
      </c>
      <c r="C75" s="286">
        <v>2023</v>
      </c>
      <c r="D75" s="286">
        <v>3</v>
      </c>
      <c r="E75" s="286">
        <v>8617</v>
      </c>
      <c r="F75" s="286" t="s">
        <v>301</v>
      </c>
      <c r="G75" s="286">
        <v>0</v>
      </c>
      <c r="H75" s="286">
        <v>0</v>
      </c>
      <c r="I75" s="286">
        <v>110</v>
      </c>
      <c r="J75" s="286">
        <v>120</v>
      </c>
      <c r="K75" s="281" t="s">
        <v>299</v>
      </c>
    </row>
    <row r="76" spans="1:11" ht="15.75" x14ac:dyDescent="0.25">
      <c r="A76" s="285" t="s">
        <v>220</v>
      </c>
      <c r="B76" s="286" t="s">
        <v>300</v>
      </c>
      <c r="C76" s="286">
        <v>2023</v>
      </c>
      <c r="D76" s="286">
        <v>3</v>
      </c>
      <c r="E76" s="286">
        <v>8617</v>
      </c>
      <c r="F76" s="286" t="s">
        <v>301</v>
      </c>
      <c r="G76" s="286">
        <v>0</v>
      </c>
      <c r="H76" s="286">
        <v>0</v>
      </c>
      <c r="I76" s="286">
        <v>110</v>
      </c>
      <c r="J76" s="286">
        <v>120</v>
      </c>
      <c r="K76" s="281" t="s">
        <v>299</v>
      </c>
    </row>
    <row r="77" spans="1:11" ht="15.75" x14ac:dyDescent="0.25">
      <c r="A77" s="285" t="s">
        <v>145</v>
      </c>
      <c r="B77" s="286" t="s">
        <v>300</v>
      </c>
      <c r="C77" s="286">
        <v>2023</v>
      </c>
      <c r="D77" s="286">
        <v>3</v>
      </c>
      <c r="E77" s="286">
        <v>8617</v>
      </c>
      <c r="F77" s="286" t="s">
        <v>301</v>
      </c>
      <c r="G77" s="286">
        <v>0</v>
      </c>
      <c r="H77" s="286">
        <v>0</v>
      </c>
      <c r="I77" s="286">
        <v>110</v>
      </c>
      <c r="J77" s="286">
        <v>120</v>
      </c>
      <c r="K77" s="281" t="s">
        <v>299</v>
      </c>
    </row>
    <row r="78" spans="1:11" ht="15.75" x14ac:dyDescent="0.25">
      <c r="A78" s="285" t="s">
        <v>187</v>
      </c>
      <c r="B78" s="286" t="s">
        <v>300</v>
      </c>
      <c r="C78" s="286">
        <v>2023</v>
      </c>
      <c r="D78" s="286">
        <v>3</v>
      </c>
      <c r="E78" s="286">
        <v>8617</v>
      </c>
      <c r="F78" s="286" t="s">
        <v>301</v>
      </c>
      <c r="G78" s="286">
        <v>0</v>
      </c>
      <c r="H78" s="286">
        <v>0</v>
      </c>
      <c r="I78" s="286">
        <v>110</v>
      </c>
      <c r="J78" s="286">
        <v>120</v>
      </c>
      <c r="K78" s="281" t="s">
        <v>299</v>
      </c>
    </row>
    <row r="79" spans="1:11" ht="15.75" x14ac:dyDescent="0.25">
      <c r="A79" s="285" t="s">
        <v>247</v>
      </c>
      <c r="B79" s="286" t="s">
        <v>300</v>
      </c>
      <c r="C79" s="286">
        <v>2023</v>
      </c>
      <c r="D79" s="286">
        <v>3</v>
      </c>
      <c r="E79" s="286">
        <v>8617</v>
      </c>
      <c r="F79" s="286" t="s">
        <v>301</v>
      </c>
      <c r="G79" s="286">
        <v>0</v>
      </c>
      <c r="H79" s="286">
        <v>0</v>
      </c>
      <c r="I79" s="286">
        <v>110</v>
      </c>
      <c r="J79" s="286">
        <v>120</v>
      </c>
      <c r="K79" s="281" t="s">
        <v>299</v>
      </c>
    </row>
    <row r="80" spans="1:11" ht="15.75" x14ac:dyDescent="0.25">
      <c r="A80" s="285" t="s">
        <v>189</v>
      </c>
      <c r="B80" s="286" t="s">
        <v>300</v>
      </c>
      <c r="C80" s="286">
        <v>2023</v>
      </c>
      <c r="D80" s="286">
        <v>3</v>
      </c>
      <c r="E80" s="286">
        <v>8617</v>
      </c>
      <c r="F80" s="286" t="s">
        <v>301</v>
      </c>
      <c r="G80" s="286">
        <v>0</v>
      </c>
      <c r="H80" s="286">
        <v>0</v>
      </c>
      <c r="I80" s="286">
        <v>110</v>
      </c>
      <c r="J80" s="286">
        <v>120</v>
      </c>
      <c r="K80" s="281" t="s">
        <v>299</v>
      </c>
    </row>
    <row r="81" spans="1:11" ht="15.75" x14ac:dyDescent="0.25">
      <c r="A81" s="285" t="s">
        <v>238</v>
      </c>
      <c r="B81" s="286" t="s">
        <v>300</v>
      </c>
      <c r="C81" s="286">
        <v>2023</v>
      </c>
      <c r="D81" s="286">
        <v>3</v>
      </c>
      <c r="E81" s="286">
        <v>8617</v>
      </c>
      <c r="F81" s="286" t="s">
        <v>301</v>
      </c>
      <c r="G81" s="286">
        <v>0</v>
      </c>
      <c r="H81" s="286">
        <v>0</v>
      </c>
      <c r="I81" s="286">
        <v>112</v>
      </c>
      <c r="J81" s="286">
        <v>120</v>
      </c>
      <c r="K81" s="281" t="s">
        <v>299</v>
      </c>
    </row>
    <row r="82" spans="1:11" ht="15.75" x14ac:dyDescent="0.25">
      <c r="A82" s="285" t="s">
        <v>146</v>
      </c>
      <c r="B82" s="286" t="s">
        <v>300</v>
      </c>
      <c r="C82" s="286">
        <v>2023</v>
      </c>
      <c r="D82" s="286">
        <v>3</v>
      </c>
      <c r="E82" s="286">
        <v>8617</v>
      </c>
      <c r="F82" s="286" t="s">
        <v>301</v>
      </c>
      <c r="G82" s="286">
        <v>0</v>
      </c>
      <c r="H82" s="286">
        <v>0</v>
      </c>
      <c r="I82" s="286">
        <v>111</v>
      </c>
      <c r="J82" s="286">
        <v>120</v>
      </c>
      <c r="K82" s="281" t="s">
        <v>299</v>
      </c>
    </row>
    <row r="83" spans="1:11" ht="15.75" x14ac:dyDescent="0.25">
      <c r="A83" s="285" t="s">
        <v>179</v>
      </c>
      <c r="B83" s="286" t="s">
        <v>300</v>
      </c>
      <c r="C83" s="286">
        <v>2023</v>
      </c>
      <c r="D83" s="286">
        <v>3</v>
      </c>
      <c r="E83" s="286">
        <v>8617</v>
      </c>
      <c r="F83" s="286" t="s">
        <v>301</v>
      </c>
      <c r="G83" s="286">
        <v>0</v>
      </c>
      <c r="H83" s="286">
        <v>0</v>
      </c>
      <c r="I83" s="286">
        <v>112</v>
      </c>
      <c r="J83" s="286">
        <v>120</v>
      </c>
      <c r="K83" s="281" t="s">
        <v>299</v>
      </c>
    </row>
    <row r="84" spans="1:11" ht="15.75" x14ac:dyDescent="0.25">
      <c r="A84" s="285" t="s">
        <v>197</v>
      </c>
      <c r="B84" s="286" t="s">
        <v>300</v>
      </c>
      <c r="C84" s="286">
        <v>2023</v>
      </c>
      <c r="D84" s="286">
        <v>3</v>
      </c>
      <c r="E84" s="286">
        <v>8617</v>
      </c>
      <c r="F84" s="286" t="s">
        <v>301</v>
      </c>
      <c r="G84" s="286">
        <v>0</v>
      </c>
      <c r="H84" s="286">
        <v>0</v>
      </c>
      <c r="I84" s="286">
        <v>110</v>
      </c>
      <c r="J84" s="286">
        <v>120</v>
      </c>
      <c r="K84" s="281" t="s">
        <v>299</v>
      </c>
    </row>
    <row r="85" spans="1:11" ht="15.75" x14ac:dyDescent="0.25">
      <c r="A85" s="285" t="s">
        <v>253</v>
      </c>
      <c r="B85" s="286" t="s">
        <v>300</v>
      </c>
      <c r="C85" s="286">
        <v>2023</v>
      </c>
      <c r="D85" s="286">
        <v>3</v>
      </c>
      <c r="E85" s="286">
        <v>8617</v>
      </c>
      <c r="F85" s="286" t="s">
        <v>301</v>
      </c>
      <c r="G85" s="286">
        <v>0</v>
      </c>
      <c r="H85" s="286">
        <v>0</v>
      </c>
      <c r="I85" s="286">
        <v>112</v>
      </c>
      <c r="J85" s="286">
        <v>120</v>
      </c>
      <c r="K85" s="281" t="s">
        <v>299</v>
      </c>
    </row>
    <row r="86" spans="1:11" ht="15.75" x14ac:dyDescent="0.25">
      <c r="A86" s="285" t="s">
        <v>246</v>
      </c>
      <c r="B86" s="286" t="s">
        <v>300</v>
      </c>
      <c r="C86" s="286">
        <v>2023</v>
      </c>
      <c r="D86" s="286">
        <v>3</v>
      </c>
      <c r="E86" s="286">
        <v>8617</v>
      </c>
      <c r="F86" s="286" t="s">
        <v>301</v>
      </c>
      <c r="G86" s="286">
        <v>0</v>
      </c>
      <c r="H86" s="286">
        <v>0</v>
      </c>
      <c r="I86" s="286">
        <v>110</v>
      </c>
      <c r="J86" s="286">
        <v>120</v>
      </c>
      <c r="K86" s="281" t="s">
        <v>299</v>
      </c>
    </row>
    <row r="87" spans="1:11" ht="15.75" x14ac:dyDescent="0.25">
      <c r="A87" s="285" t="s">
        <v>154</v>
      </c>
      <c r="B87" s="286" t="s">
        <v>300</v>
      </c>
      <c r="C87" s="286">
        <v>2023</v>
      </c>
      <c r="D87" s="286">
        <v>3</v>
      </c>
      <c r="E87" s="286">
        <v>8617</v>
      </c>
      <c r="F87" s="286" t="s">
        <v>301</v>
      </c>
      <c r="G87" s="286">
        <v>0</v>
      </c>
      <c r="H87" s="286">
        <v>0</v>
      </c>
      <c r="I87" s="286">
        <v>109</v>
      </c>
      <c r="J87" s="286">
        <v>120</v>
      </c>
      <c r="K87" s="281" t="s">
        <v>299</v>
      </c>
    </row>
    <row r="88" spans="1:11" ht="15.75" x14ac:dyDescent="0.25">
      <c r="A88" s="285" t="s">
        <v>283</v>
      </c>
      <c r="B88" s="286" t="s">
        <v>300</v>
      </c>
      <c r="C88" s="286">
        <v>2023</v>
      </c>
      <c r="D88" s="286">
        <v>3</v>
      </c>
      <c r="E88" s="286">
        <v>8617</v>
      </c>
      <c r="F88" s="286" t="s">
        <v>301</v>
      </c>
      <c r="G88" s="286">
        <v>0</v>
      </c>
      <c r="H88" s="286">
        <v>0</v>
      </c>
      <c r="I88" s="286">
        <v>110</v>
      </c>
      <c r="J88" s="286">
        <v>120</v>
      </c>
      <c r="K88" s="281" t="s">
        <v>299</v>
      </c>
    </row>
    <row r="89" spans="1:11" ht="15.75" x14ac:dyDescent="0.25">
      <c r="A89" s="285" t="s">
        <v>162</v>
      </c>
      <c r="B89" s="286" t="s">
        <v>300</v>
      </c>
      <c r="C89" s="286">
        <v>2023</v>
      </c>
      <c r="D89" s="286">
        <v>3</v>
      </c>
      <c r="E89" s="286">
        <v>8617</v>
      </c>
      <c r="F89" s="286" t="s">
        <v>301</v>
      </c>
      <c r="G89" s="286">
        <v>0</v>
      </c>
      <c r="H89" s="286">
        <v>0</v>
      </c>
      <c r="I89" s="286">
        <v>110</v>
      </c>
      <c r="J89" s="286">
        <v>120</v>
      </c>
      <c r="K89" s="281" t="s">
        <v>299</v>
      </c>
    </row>
    <row r="90" spans="1:11" ht="15.75" x14ac:dyDescent="0.25">
      <c r="A90" s="285" t="s">
        <v>204</v>
      </c>
      <c r="B90" s="286" t="s">
        <v>300</v>
      </c>
      <c r="C90" s="286">
        <v>2023</v>
      </c>
      <c r="D90" s="286">
        <v>3</v>
      </c>
      <c r="E90" s="286">
        <v>8617</v>
      </c>
      <c r="F90" s="286" t="s">
        <v>301</v>
      </c>
      <c r="G90" s="286">
        <v>0</v>
      </c>
      <c r="H90" s="286">
        <v>0</v>
      </c>
      <c r="I90" s="286">
        <v>110</v>
      </c>
      <c r="J90" s="286">
        <v>120</v>
      </c>
      <c r="K90" s="281" t="s">
        <v>299</v>
      </c>
    </row>
    <row r="91" spans="1:11" ht="15.75" x14ac:dyDescent="0.25">
      <c r="A91" s="285" t="s">
        <v>269</v>
      </c>
      <c r="B91" s="286" t="s">
        <v>300</v>
      </c>
      <c r="C91" s="286">
        <v>2023</v>
      </c>
      <c r="D91" s="286">
        <v>3</v>
      </c>
      <c r="E91" s="286">
        <v>8617</v>
      </c>
      <c r="F91" s="286" t="s">
        <v>301</v>
      </c>
      <c r="G91" s="286">
        <v>0</v>
      </c>
      <c r="H91" s="286">
        <v>0</v>
      </c>
      <c r="I91" s="286">
        <v>110</v>
      </c>
      <c r="J91" s="286">
        <v>120</v>
      </c>
      <c r="K91" s="281" t="s">
        <v>299</v>
      </c>
    </row>
    <row r="92" spans="1:11" ht="15.75" x14ac:dyDescent="0.25">
      <c r="A92" s="285" t="s">
        <v>254</v>
      </c>
      <c r="B92" s="286" t="s">
        <v>300</v>
      </c>
      <c r="C92" s="286">
        <v>2023</v>
      </c>
      <c r="D92" s="286">
        <v>3</v>
      </c>
      <c r="E92" s="286">
        <v>8617</v>
      </c>
      <c r="F92" s="286" t="s">
        <v>301</v>
      </c>
      <c r="G92" s="286">
        <v>0</v>
      </c>
      <c r="H92" s="286">
        <v>0</v>
      </c>
      <c r="I92" s="286">
        <v>110</v>
      </c>
      <c r="J92" s="286">
        <v>120</v>
      </c>
      <c r="K92" s="281" t="s">
        <v>299</v>
      </c>
    </row>
    <row r="93" spans="1:11" ht="15.75" x14ac:dyDescent="0.25">
      <c r="A93" s="285" t="s">
        <v>185</v>
      </c>
      <c r="B93" s="286" t="s">
        <v>300</v>
      </c>
      <c r="C93" s="286">
        <v>2023</v>
      </c>
      <c r="D93" s="286">
        <v>3</v>
      </c>
      <c r="E93" s="286">
        <v>8617</v>
      </c>
      <c r="F93" s="286" t="s">
        <v>301</v>
      </c>
      <c r="G93" s="286">
        <v>0</v>
      </c>
      <c r="H93" s="286">
        <v>0</v>
      </c>
      <c r="I93" s="286">
        <v>110</v>
      </c>
      <c r="J93" s="286">
        <v>120</v>
      </c>
      <c r="K93" s="281" t="s">
        <v>299</v>
      </c>
    </row>
    <row r="94" spans="1:11" ht="15.75" x14ac:dyDescent="0.25">
      <c r="A94" s="285" t="s">
        <v>178</v>
      </c>
      <c r="B94" s="286" t="s">
        <v>300</v>
      </c>
      <c r="C94" s="286">
        <v>2023</v>
      </c>
      <c r="D94" s="286">
        <v>3</v>
      </c>
      <c r="E94" s="286">
        <v>8617</v>
      </c>
      <c r="F94" s="286" t="s">
        <v>301</v>
      </c>
      <c r="G94" s="286">
        <v>0</v>
      </c>
      <c r="H94" s="286">
        <v>0</v>
      </c>
      <c r="I94" s="286">
        <v>110</v>
      </c>
      <c r="J94" s="286">
        <v>120</v>
      </c>
      <c r="K94" s="281" t="s">
        <v>299</v>
      </c>
    </row>
    <row r="95" spans="1:11" ht="15.75" x14ac:dyDescent="0.25">
      <c r="A95" s="285" t="s">
        <v>196</v>
      </c>
      <c r="B95" s="286" t="s">
        <v>300</v>
      </c>
      <c r="C95" s="286">
        <v>2023</v>
      </c>
      <c r="D95" s="286">
        <v>3</v>
      </c>
      <c r="E95" s="286">
        <v>8617</v>
      </c>
      <c r="F95" s="286" t="s">
        <v>301</v>
      </c>
      <c r="G95" s="286">
        <v>0</v>
      </c>
      <c r="H95" s="286">
        <v>0</v>
      </c>
      <c r="I95" s="286">
        <v>110</v>
      </c>
      <c r="J95" s="286">
        <v>120</v>
      </c>
      <c r="K95" s="281" t="s">
        <v>299</v>
      </c>
    </row>
    <row r="96" spans="1:11" ht="15.75" x14ac:dyDescent="0.25">
      <c r="A96" s="285" t="s">
        <v>190</v>
      </c>
      <c r="B96" s="286" t="s">
        <v>300</v>
      </c>
      <c r="C96" s="286">
        <v>2023</v>
      </c>
      <c r="D96" s="286">
        <v>3</v>
      </c>
      <c r="E96" s="286">
        <v>8617</v>
      </c>
      <c r="F96" s="286" t="s">
        <v>301</v>
      </c>
      <c r="G96" s="286">
        <v>0</v>
      </c>
      <c r="H96" s="286">
        <v>0</v>
      </c>
      <c r="I96" s="286">
        <v>110</v>
      </c>
      <c r="J96" s="286">
        <v>120</v>
      </c>
      <c r="K96" s="281" t="s">
        <v>299</v>
      </c>
    </row>
    <row r="97" spans="1:11" ht="15.75" x14ac:dyDescent="0.25">
      <c r="A97" s="285" t="s">
        <v>198</v>
      </c>
      <c r="B97" s="286" t="s">
        <v>300</v>
      </c>
      <c r="C97" s="286">
        <v>2023</v>
      </c>
      <c r="D97" s="286">
        <v>3</v>
      </c>
      <c r="E97" s="286">
        <v>8617</v>
      </c>
      <c r="F97" s="286" t="s">
        <v>301</v>
      </c>
      <c r="G97" s="286">
        <v>0</v>
      </c>
      <c r="H97" s="286">
        <v>0</v>
      </c>
      <c r="I97" s="286">
        <v>109</v>
      </c>
      <c r="J97" s="286">
        <v>120</v>
      </c>
      <c r="K97" s="281" t="s">
        <v>299</v>
      </c>
    </row>
    <row r="98" spans="1:11" ht="15.75" x14ac:dyDescent="0.25">
      <c r="A98" s="285" t="s">
        <v>244</v>
      </c>
      <c r="B98" s="286" t="s">
        <v>300</v>
      </c>
      <c r="C98" s="286">
        <v>2023</v>
      </c>
      <c r="D98" s="286">
        <v>3</v>
      </c>
      <c r="E98" s="286">
        <v>8617</v>
      </c>
      <c r="F98" s="286" t="s">
        <v>301</v>
      </c>
      <c r="G98" s="286">
        <v>0</v>
      </c>
      <c r="H98" s="286">
        <v>0</v>
      </c>
      <c r="I98" s="286">
        <v>110</v>
      </c>
      <c r="J98" s="286">
        <v>120</v>
      </c>
      <c r="K98" s="281" t="s">
        <v>299</v>
      </c>
    </row>
    <row r="99" spans="1:11" ht="15.75" x14ac:dyDescent="0.25">
      <c r="A99" s="285" t="s">
        <v>160</v>
      </c>
      <c r="B99" s="286" t="s">
        <v>300</v>
      </c>
      <c r="C99" s="286">
        <v>2023</v>
      </c>
      <c r="D99" s="286">
        <v>3</v>
      </c>
      <c r="E99" s="286">
        <v>8617</v>
      </c>
      <c r="F99" s="286" t="s">
        <v>301</v>
      </c>
      <c r="G99" s="286">
        <v>0</v>
      </c>
      <c r="H99" s="286">
        <v>0</v>
      </c>
      <c r="I99" s="286">
        <v>110</v>
      </c>
      <c r="J99" s="286">
        <v>120</v>
      </c>
      <c r="K99" s="281" t="s">
        <v>299</v>
      </c>
    </row>
    <row r="100" spans="1:11" ht="15.75" x14ac:dyDescent="0.25">
      <c r="A100" s="285" t="s">
        <v>232</v>
      </c>
      <c r="B100" s="286" t="s">
        <v>300</v>
      </c>
      <c r="C100" s="286">
        <v>2023</v>
      </c>
      <c r="D100" s="286">
        <v>3</v>
      </c>
      <c r="E100" s="286">
        <v>8617</v>
      </c>
      <c r="F100" s="286" t="s">
        <v>301</v>
      </c>
      <c r="G100" s="286">
        <v>0</v>
      </c>
      <c r="H100" s="286">
        <v>0</v>
      </c>
      <c r="I100" s="286">
        <v>111</v>
      </c>
      <c r="J100" s="286">
        <v>120</v>
      </c>
      <c r="K100" s="281" t="s">
        <v>299</v>
      </c>
    </row>
    <row r="101" spans="1:11" ht="15.75" x14ac:dyDescent="0.25">
      <c r="A101" s="285" t="s">
        <v>236</v>
      </c>
      <c r="B101" s="286" t="s">
        <v>300</v>
      </c>
      <c r="C101" s="286">
        <v>2023</v>
      </c>
      <c r="D101" s="286">
        <v>3</v>
      </c>
      <c r="E101" s="286">
        <v>8617</v>
      </c>
      <c r="F101" s="286" t="s">
        <v>301</v>
      </c>
      <c r="G101" s="286">
        <v>0</v>
      </c>
      <c r="H101" s="286">
        <v>0</v>
      </c>
      <c r="I101" s="286">
        <v>110</v>
      </c>
      <c r="J101" s="286">
        <v>120</v>
      </c>
      <c r="K101" s="281" t="s">
        <v>299</v>
      </c>
    </row>
    <row r="102" spans="1:11" ht="15.75" x14ac:dyDescent="0.25">
      <c r="A102" s="285" t="s">
        <v>191</v>
      </c>
      <c r="B102" s="286" t="s">
        <v>300</v>
      </c>
      <c r="C102" s="286">
        <v>2023</v>
      </c>
      <c r="D102" s="286">
        <v>3</v>
      </c>
      <c r="E102" s="286">
        <v>8617</v>
      </c>
      <c r="F102" s="286" t="s">
        <v>301</v>
      </c>
      <c r="G102" s="286">
        <v>0</v>
      </c>
      <c r="H102" s="286">
        <v>0</v>
      </c>
      <c r="I102" s="286">
        <v>110</v>
      </c>
      <c r="J102" s="286">
        <v>120</v>
      </c>
      <c r="K102" s="281" t="s">
        <v>299</v>
      </c>
    </row>
    <row r="103" spans="1:11" ht="15.75" x14ac:dyDescent="0.25">
      <c r="A103" s="285" t="s">
        <v>271</v>
      </c>
      <c r="B103" s="286" t="s">
        <v>300</v>
      </c>
      <c r="C103" s="286">
        <v>2023</v>
      </c>
      <c r="D103" s="286">
        <v>3</v>
      </c>
      <c r="E103" s="286">
        <v>8617</v>
      </c>
      <c r="F103" s="286" t="s">
        <v>301</v>
      </c>
      <c r="G103" s="286">
        <v>0</v>
      </c>
      <c r="H103" s="286">
        <v>0</v>
      </c>
      <c r="I103" s="286">
        <v>111</v>
      </c>
      <c r="J103" s="286">
        <v>120</v>
      </c>
      <c r="K103" s="281" t="s">
        <v>299</v>
      </c>
    </row>
    <row r="104" spans="1:11" ht="15.75" x14ac:dyDescent="0.25">
      <c r="A104" s="285" t="s">
        <v>226</v>
      </c>
      <c r="B104" s="286" t="s">
        <v>300</v>
      </c>
      <c r="C104" s="286">
        <v>2023</v>
      </c>
      <c r="D104" s="286">
        <v>3</v>
      </c>
      <c r="E104" s="286">
        <v>8617</v>
      </c>
      <c r="F104" s="286" t="s">
        <v>301</v>
      </c>
      <c r="G104" s="286">
        <v>0</v>
      </c>
      <c r="H104" s="286">
        <v>0</v>
      </c>
      <c r="I104" s="286">
        <v>110</v>
      </c>
      <c r="J104" s="286">
        <v>120</v>
      </c>
      <c r="K104" s="281" t="s">
        <v>299</v>
      </c>
    </row>
    <row r="105" spans="1:11" ht="15.75" x14ac:dyDescent="0.25">
      <c r="A105" s="285" t="s">
        <v>156</v>
      </c>
      <c r="B105" s="286" t="s">
        <v>300</v>
      </c>
      <c r="C105" s="286">
        <v>2023</v>
      </c>
      <c r="D105" s="286">
        <v>3</v>
      </c>
      <c r="E105" s="286">
        <v>8617</v>
      </c>
      <c r="F105" s="286" t="s">
        <v>301</v>
      </c>
      <c r="G105" s="286">
        <v>0</v>
      </c>
      <c r="H105" s="286">
        <v>0</v>
      </c>
      <c r="I105" s="286">
        <v>112</v>
      </c>
      <c r="J105" s="286">
        <v>120</v>
      </c>
      <c r="K105" s="281" t="s">
        <v>299</v>
      </c>
    </row>
    <row r="106" spans="1:11" ht="15.75" x14ac:dyDescent="0.25">
      <c r="A106" s="285" t="s">
        <v>175</v>
      </c>
      <c r="B106" s="286" t="s">
        <v>300</v>
      </c>
      <c r="C106" s="286">
        <v>2023</v>
      </c>
      <c r="D106" s="286">
        <v>3</v>
      </c>
      <c r="E106" s="286">
        <v>8617</v>
      </c>
      <c r="F106" s="286" t="s">
        <v>301</v>
      </c>
      <c r="G106" s="286">
        <v>0</v>
      </c>
      <c r="H106" s="286">
        <v>0</v>
      </c>
      <c r="I106" s="286">
        <v>109</v>
      </c>
      <c r="J106" s="286">
        <v>120</v>
      </c>
      <c r="K106" s="281" t="s">
        <v>299</v>
      </c>
    </row>
    <row r="107" spans="1:11" ht="15.75" x14ac:dyDescent="0.25">
      <c r="A107" s="285" t="s">
        <v>144</v>
      </c>
      <c r="B107" s="286" t="s">
        <v>300</v>
      </c>
      <c r="C107" s="286">
        <v>2023</v>
      </c>
      <c r="D107" s="286">
        <v>3</v>
      </c>
      <c r="E107" s="286">
        <v>8617</v>
      </c>
      <c r="F107" s="286" t="s">
        <v>301</v>
      </c>
      <c r="G107" s="286">
        <v>0</v>
      </c>
      <c r="H107" s="286">
        <v>0</v>
      </c>
      <c r="I107" s="286">
        <v>112</v>
      </c>
      <c r="J107" s="286">
        <v>120</v>
      </c>
      <c r="K107" s="281" t="s">
        <v>299</v>
      </c>
    </row>
    <row r="108" spans="1:11" ht="15.75" x14ac:dyDescent="0.25">
      <c r="A108" s="285" t="s">
        <v>206</v>
      </c>
      <c r="B108" s="286" t="s">
        <v>300</v>
      </c>
      <c r="C108" s="286">
        <v>2023</v>
      </c>
      <c r="D108" s="286">
        <v>3</v>
      </c>
      <c r="E108" s="286">
        <v>8617</v>
      </c>
      <c r="F108" s="286" t="s">
        <v>301</v>
      </c>
      <c r="G108" s="286">
        <v>0</v>
      </c>
      <c r="H108" s="286">
        <v>0</v>
      </c>
      <c r="I108" s="286">
        <v>110</v>
      </c>
      <c r="J108" s="286">
        <v>120</v>
      </c>
      <c r="K108" s="281" t="s">
        <v>299</v>
      </c>
    </row>
    <row r="109" spans="1:11" ht="15.75" x14ac:dyDescent="0.25">
      <c r="A109" s="285" t="s">
        <v>209</v>
      </c>
      <c r="B109" s="286" t="s">
        <v>300</v>
      </c>
      <c r="C109" s="286">
        <v>2023</v>
      </c>
      <c r="D109" s="286">
        <v>3</v>
      </c>
      <c r="E109" s="286">
        <v>8617</v>
      </c>
      <c r="F109" s="286" t="s">
        <v>301</v>
      </c>
      <c r="G109" s="286">
        <v>0</v>
      </c>
      <c r="H109" s="286">
        <v>0</v>
      </c>
      <c r="I109" s="286">
        <v>110</v>
      </c>
      <c r="J109" s="286">
        <v>120</v>
      </c>
      <c r="K109" s="281" t="s">
        <v>299</v>
      </c>
    </row>
    <row r="110" spans="1:11" ht="15.75" x14ac:dyDescent="0.25">
      <c r="A110" s="285" t="s">
        <v>245</v>
      </c>
      <c r="B110" s="286" t="s">
        <v>300</v>
      </c>
      <c r="C110" s="286">
        <v>2023</v>
      </c>
      <c r="D110" s="286">
        <v>3</v>
      </c>
      <c r="E110" s="286">
        <v>8617</v>
      </c>
      <c r="F110" s="286" t="s">
        <v>301</v>
      </c>
      <c r="G110" s="286">
        <v>0</v>
      </c>
      <c r="H110" s="286">
        <v>0</v>
      </c>
      <c r="I110" s="286">
        <v>110</v>
      </c>
      <c r="J110" s="286">
        <v>120</v>
      </c>
      <c r="K110" s="281" t="s">
        <v>299</v>
      </c>
    </row>
    <row r="111" spans="1:11" ht="15.75" x14ac:dyDescent="0.25">
      <c r="A111" s="285" t="s">
        <v>199</v>
      </c>
      <c r="B111" s="286" t="s">
        <v>300</v>
      </c>
      <c r="C111" s="286">
        <v>2023</v>
      </c>
      <c r="D111" s="286">
        <v>3</v>
      </c>
      <c r="E111" s="286">
        <v>8617</v>
      </c>
      <c r="F111" s="286" t="s">
        <v>301</v>
      </c>
      <c r="G111" s="286">
        <v>0</v>
      </c>
      <c r="H111" s="286">
        <v>0</v>
      </c>
      <c r="I111" s="286">
        <v>110</v>
      </c>
      <c r="J111" s="286">
        <v>120</v>
      </c>
      <c r="K111" s="281" t="s">
        <v>299</v>
      </c>
    </row>
    <row r="112" spans="1:11" ht="15.75" x14ac:dyDescent="0.25">
      <c r="A112" s="285" t="s">
        <v>201</v>
      </c>
      <c r="B112" s="286" t="s">
        <v>300</v>
      </c>
      <c r="C112" s="286">
        <v>2023</v>
      </c>
      <c r="D112" s="286">
        <v>3</v>
      </c>
      <c r="E112" s="286">
        <v>8617</v>
      </c>
      <c r="F112" s="286" t="s">
        <v>301</v>
      </c>
      <c r="G112" s="286">
        <v>0</v>
      </c>
      <c r="H112" s="286">
        <v>0</v>
      </c>
      <c r="I112" s="286">
        <v>110</v>
      </c>
      <c r="J112" s="286">
        <v>120</v>
      </c>
      <c r="K112" s="281" t="s">
        <v>299</v>
      </c>
    </row>
    <row r="113" spans="1:11" ht="15.75" x14ac:dyDescent="0.25">
      <c r="A113" s="285" t="s">
        <v>153</v>
      </c>
      <c r="B113" s="286" t="s">
        <v>300</v>
      </c>
      <c r="C113" s="286">
        <v>2023</v>
      </c>
      <c r="D113" s="286">
        <v>3</v>
      </c>
      <c r="E113" s="286">
        <v>8617</v>
      </c>
      <c r="F113" s="286" t="s">
        <v>301</v>
      </c>
      <c r="G113" s="286">
        <v>0</v>
      </c>
      <c r="H113" s="286">
        <v>0</v>
      </c>
      <c r="I113" s="286">
        <v>110</v>
      </c>
      <c r="J113" s="286">
        <v>120</v>
      </c>
      <c r="K113" s="281" t="s">
        <v>299</v>
      </c>
    </row>
    <row r="114" spans="1:11" ht="15.75" x14ac:dyDescent="0.25">
      <c r="A114" s="285" t="s">
        <v>148</v>
      </c>
      <c r="B114" s="286" t="s">
        <v>300</v>
      </c>
      <c r="C114" s="286">
        <v>2023</v>
      </c>
      <c r="D114" s="286">
        <v>3</v>
      </c>
      <c r="E114" s="286">
        <v>8617</v>
      </c>
      <c r="F114" s="286" t="s">
        <v>301</v>
      </c>
      <c r="G114" s="286">
        <v>0</v>
      </c>
      <c r="H114" s="286">
        <v>0</v>
      </c>
      <c r="I114" s="286">
        <v>110</v>
      </c>
      <c r="J114" s="286">
        <v>120</v>
      </c>
      <c r="K114" s="281" t="s">
        <v>299</v>
      </c>
    </row>
    <row r="115" spans="1:11" ht="15.75" x14ac:dyDescent="0.25">
      <c r="A115" s="285" t="s">
        <v>227</v>
      </c>
      <c r="B115" s="286" t="s">
        <v>300</v>
      </c>
      <c r="C115" s="286">
        <v>2023</v>
      </c>
      <c r="D115" s="286">
        <v>3</v>
      </c>
      <c r="E115" s="286">
        <v>8617</v>
      </c>
      <c r="F115" s="286" t="s">
        <v>301</v>
      </c>
      <c r="G115" s="286">
        <v>0</v>
      </c>
      <c r="H115" s="286">
        <v>0</v>
      </c>
      <c r="I115" s="286">
        <v>109</v>
      </c>
      <c r="J115" s="286">
        <v>120</v>
      </c>
      <c r="K115" s="281" t="s">
        <v>299</v>
      </c>
    </row>
    <row r="116" spans="1:11" ht="15.75" x14ac:dyDescent="0.25">
      <c r="A116" s="285" t="s">
        <v>225</v>
      </c>
      <c r="B116" s="286" t="s">
        <v>300</v>
      </c>
      <c r="C116" s="286">
        <v>2023</v>
      </c>
      <c r="D116" s="286">
        <v>3</v>
      </c>
      <c r="E116" s="286">
        <v>8617</v>
      </c>
      <c r="F116" s="286" t="s">
        <v>301</v>
      </c>
      <c r="G116" s="286">
        <v>0</v>
      </c>
      <c r="H116" s="286">
        <v>0</v>
      </c>
      <c r="I116" s="286">
        <v>110</v>
      </c>
      <c r="J116" s="286">
        <v>120</v>
      </c>
      <c r="K116" s="281" t="s">
        <v>299</v>
      </c>
    </row>
    <row r="117" spans="1:11" ht="15.75" x14ac:dyDescent="0.25">
      <c r="A117" s="285" t="s">
        <v>210</v>
      </c>
      <c r="B117" s="286" t="s">
        <v>300</v>
      </c>
      <c r="C117" s="286">
        <v>2023</v>
      </c>
      <c r="D117" s="286">
        <v>3</v>
      </c>
      <c r="E117" s="286">
        <v>8617</v>
      </c>
      <c r="F117" s="286" t="s">
        <v>301</v>
      </c>
      <c r="G117" s="286">
        <v>0</v>
      </c>
      <c r="H117" s="286">
        <v>0</v>
      </c>
      <c r="I117" s="286">
        <v>110</v>
      </c>
      <c r="J117" s="286">
        <v>120</v>
      </c>
      <c r="K117" s="281" t="s">
        <v>299</v>
      </c>
    </row>
    <row r="118" spans="1:11" ht="15.75" x14ac:dyDescent="0.25">
      <c r="A118" s="285" t="s">
        <v>164</v>
      </c>
      <c r="B118" s="286" t="s">
        <v>300</v>
      </c>
      <c r="C118" s="286">
        <v>2023</v>
      </c>
      <c r="D118" s="286">
        <v>3</v>
      </c>
      <c r="E118" s="286">
        <v>8617</v>
      </c>
      <c r="F118" s="286" t="s">
        <v>301</v>
      </c>
      <c r="G118" s="286">
        <v>0</v>
      </c>
      <c r="H118" s="286">
        <v>0</v>
      </c>
      <c r="I118" s="286">
        <v>110</v>
      </c>
      <c r="J118" s="286">
        <v>120</v>
      </c>
      <c r="K118" s="281" t="s">
        <v>299</v>
      </c>
    </row>
    <row r="119" spans="1:11" ht="15.75" x14ac:dyDescent="0.25">
      <c r="A119" s="285" t="s">
        <v>230</v>
      </c>
      <c r="B119" s="286" t="s">
        <v>300</v>
      </c>
      <c r="C119" s="286">
        <v>2023</v>
      </c>
      <c r="D119" s="286">
        <v>3</v>
      </c>
      <c r="E119" s="286">
        <v>8617</v>
      </c>
      <c r="F119" s="286" t="s">
        <v>301</v>
      </c>
      <c r="G119" s="286">
        <v>0</v>
      </c>
      <c r="H119" s="286">
        <v>0</v>
      </c>
      <c r="I119" s="286">
        <v>110</v>
      </c>
      <c r="J119" s="286">
        <v>120</v>
      </c>
      <c r="K119" s="281" t="s">
        <v>299</v>
      </c>
    </row>
    <row r="120" spans="1:11" ht="15.75" x14ac:dyDescent="0.25">
      <c r="A120" s="285" t="s">
        <v>192</v>
      </c>
      <c r="B120" s="286" t="s">
        <v>300</v>
      </c>
      <c r="C120" s="286">
        <v>2023</v>
      </c>
      <c r="D120" s="286">
        <v>3</v>
      </c>
      <c r="E120" s="286">
        <v>8617</v>
      </c>
      <c r="F120" s="286" t="s">
        <v>301</v>
      </c>
      <c r="G120" s="286">
        <v>0</v>
      </c>
      <c r="H120" s="286">
        <v>0</v>
      </c>
      <c r="I120" s="286">
        <v>110</v>
      </c>
      <c r="J120" s="286">
        <v>120</v>
      </c>
      <c r="K120" s="281" t="s">
        <v>299</v>
      </c>
    </row>
    <row r="121" spans="1:11" ht="15.75" x14ac:dyDescent="0.25">
      <c r="A121" s="285" t="s">
        <v>161</v>
      </c>
      <c r="B121" s="286" t="s">
        <v>300</v>
      </c>
      <c r="C121" s="286">
        <v>2023</v>
      </c>
      <c r="D121" s="286">
        <v>3</v>
      </c>
      <c r="E121" s="286">
        <v>8617</v>
      </c>
      <c r="F121" s="286" t="s">
        <v>301</v>
      </c>
      <c r="G121" s="286">
        <v>0</v>
      </c>
      <c r="H121" s="286">
        <v>0</v>
      </c>
      <c r="I121" s="286">
        <v>110</v>
      </c>
      <c r="J121" s="286">
        <v>120</v>
      </c>
      <c r="K121" s="281" t="s">
        <v>299</v>
      </c>
    </row>
    <row r="122" spans="1:11" ht="15.75" x14ac:dyDescent="0.25">
      <c r="A122" s="285" t="s">
        <v>248</v>
      </c>
      <c r="B122" s="286" t="s">
        <v>300</v>
      </c>
      <c r="C122" s="286">
        <v>2023</v>
      </c>
      <c r="D122" s="286">
        <v>3</v>
      </c>
      <c r="E122" s="286">
        <v>8617</v>
      </c>
      <c r="F122" s="286" t="s">
        <v>301</v>
      </c>
      <c r="G122" s="286">
        <v>0</v>
      </c>
      <c r="H122" s="286">
        <v>0</v>
      </c>
      <c r="I122" s="286">
        <v>111</v>
      </c>
      <c r="J122" s="286">
        <v>120</v>
      </c>
      <c r="K122" s="281" t="s">
        <v>299</v>
      </c>
    </row>
    <row r="123" spans="1:11" ht="15.75" x14ac:dyDescent="0.25">
      <c r="A123" s="285" t="s">
        <v>222</v>
      </c>
      <c r="B123" s="286" t="s">
        <v>300</v>
      </c>
      <c r="C123" s="286">
        <v>2023</v>
      </c>
      <c r="D123" s="286">
        <v>3</v>
      </c>
      <c r="E123" s="286">
        <v>8617</v>
      </c>
      <c r="F123" s="286" t="s">
        <v>301</v>
      </c>
      <c r="G123" s="286">
        <v>0</v>
      </c>
      <c r="H123" s="286">
        <v>0</v>
      </c>
      <c r="I123" s="286">
        <v>110</v>
      </c>
      <c r="J123" s="286">
        <v>120</v>
      </c>
      <c r="K123" s="281" t="s">
        <v>299</v>
      </c>
    </row>
    <row r="124" spans="1:11" ht="15.75" x14ac:dyDescent="0.25">
      <c r="A124" s="285" t="s">
        <v>203</v>
      </c>
      <c r="B124" s="286" t="s">
        <v>300</v>
      </c>
      <c r="C124" s="286">
        <v>2023</v>
      </c>
      <c r="D124" s="286">
        <v>3</v>
      </c>
      <c r="E124" s="286">
        <v>8617</v>
      </c>
      <c r="F124" s="286" t="s">
        <v>301</v>
      </c>
      <c r="G124" s="286">
        <v>0</v>
      </c>
      <c r="H124" s="286">
        <v>0</v>
      </c>
      <c r="I124" s="286">
        <v>110</v>
      </c>
      <c r="J124" s="286">
        <v>120</v>
      </c>
      <c r="K124" s="281" t="s">
        <v>299</v>
      </c>
    </row>
    <row r="125" spans="1:11" ht="15.75" x14ac:dyDescent="0.25">
      <c r="A125" s="285" t="s">
        <v>152</v>
      </c>
      <c r="B125" s="286" t="s">
        <v>300</v>
      </c>
      <c r="C125" s="286">
        <v>2023</v>
      </c>
      <c r="D125" s="286">
        <v>3</v>
      </c>
      <c r="E125" s="286">
        <v>8617</v>
      </c>
      <c r="F125" s="286" t="s">
        <v>301</v>
      </c>
      <c r="G125" s="286">
        <v>0</v>
      </c>
      <c r="H125" s="286">
        <v>0</v>
      </c>
      <c r="I125" s="286">
        <v>112</v>
      </c>
      <c r="J125" s="286">
        <v>120</v>
      </c>
      <c r="K125" s="281" t="s">
        <v>299</v>
      </c>
    </row>
    <row r="126" spans="1:11" ht="15.75" x14ac:dyDescent="0.25">
      <c r="A126" s="285" t="s">
        <v>212</v>
      </c>
      <c r="B126" s="286" t="s">
        <v>300</v>
      </c>
      <c r="C126" s="286">
        <v>2023</v>
      </c>
      <c r="D126" s="286">
        <v>3</v>
      </c>
      <c r="E126" s="286">
        <v>8617</v>
      </c>
      <c r="F126" s="286" t="s">
        <v>301</v>
      </c>
      <c r="G126" s="286">
        <v>0</v>
      </c>
      <c r="H126" s="286">
        <v>0</v>
      </c>
      <c r="I126" s="286">
        <v>110</v>
      </c>
      <c r="J126" s="286">
        <v>120</v>
      </c>
      <c r="K126" s="281" t="s">
        <v>299</v>
      </c>
    </row>
    <row r="127" spans="1:11" ht="15.75" x14ac:dyDescent="0.25">
      <c r="A127" s="285" t="s">
        <v>158</v>
      </c>
      <c r="B127" s="286" t="s">
        <v>300</v>
      </c>
      <c r="C127" s="286">
        <v>2023</v>
      </c>
      <c r="D127" s="286">
        <v>3</v>
      </c>
      <c r="E127" s="286">
        <v>8617</v>
      </c>
      <c r="F127" s="286" t="s">
        <v>301</v>
      </c>
      <c r="G127" s="286">
        <v>0</v>
      </c>
      <c r="H127" s="286">
        <v>0</v>
      </c>
      <c r="I127" s="286">
        <v>109</v>
      </c>
      <c r="J127" s="286">
        <v>120</v>
      </c>
      <c r="K127" s="281" t="s">
        <v>299</v>
      </c>
    </row>
    <row r="128" spans="1:11" ht="15.75" x14ac:dyDescent="0.25">
      <c r="A128" s="285" t="s">
        <v>167</v>
      </c>
      <c r="B128" s="286" t="s">
        <v>300</v>
      </c>
      <c r="C128" s="286">
        <v>2023</v>
      </c>
      <c r="D128" s="286">
        <v>3</v>
      </c>
      <c r="E128" s="286">
        <v>8617</v>
      </c>
      <c r="F128" s="286" t="s">
        <v>301</v>
      </c>
      <c r="G128" s="286">
        <v>0</v>
      </c>
      <c r="H128" s="286">
        <v>0</v>
      </c>
      <c r="I128" s="286">
        <v>110</v>
      </c>
      <c r="J128" s="286">
        <v>120</v>
      </c>
      <c r="K128" s="281" t="s">
        <v>299</v>
      </c>
    </row>
    <row r="129" spans="1:11" ht="15.75" x14ac:dyDescent="0.25">
      <c r="A129" s="285" t="s">
        <v>207</v>
      </c>
      <c r="B129" s="286" t="s">
        <v>300</v>
      </c>
      <c r="C129" s="286">
        <v>2023</v>
      </c>
      <c r="D129" s="286">
        <v>3</v>
      </c>
      <c r="E129" s="286">
        <v>8617</v>
      </c>
      <c r="F129" s="286" t="s">
        <v>301</v>
      </c>
      <c r="G129" s="286">
        <v>0</v>
      </c>
      <c r="H129" s="286">
        <v>0</v>
      </c>
      <c r="I129" s="286">
        <v>110</v>
      </c>
      <c r="J129" s="286">
        <v>120</v>
      </c>
      <c r="K129" s="281" t="s">
        <v>299</v>
      </c>
    </row>
    <row r="130" spans="1:11" ht="15.75" x14ac:dyDescent="0.25">
      <c r="A130" s="285" t="s">
        <v>239</v>
      </c>
      <c r="B130" s="286" t="s">
        <v>300</v>
      </c>
      <c r="C130" s="286">
        <v>2023</v>
      </c>
      <c r="D130" s="286">
        <v>3</v>
      </c>
      <c r="E130" s="286">
        <v>8617</v>
      </c>
      <c r="F130" s="286" t="s">
        <v>301</v>
      </c>
      <c r="G130" s="286">
        <v>0</v>
      </c>
      <c r="H130" s="286">
        <v>0</v>
      </c>
      <c r="I130" s="286">
        <v>110</v>
      </c>
      <c r="J130" s="286">
        <v>120</v>
      </c>
      <c r="K130" s="281" t="s">
        <v>299</v>
      </c>
    </row>
    <row r="131" spans="1:11" ht="15.75" x14ac:dyDescent="0.25">
      <c r="A131" s="285" t="s">
        <v>221</v>
      </c>
      <c r="B131" s="286" t="s">
        <v>300</v>
      </c>
      <c r="C131" s="286">
        <v>2023</v>
      </c>
      <c r="D131" s="286">
        <v>3</v>
      </c>
      <c r="E131" s="286">
        <v>8617</v>
      </c>
      <c r="F131" s="286" t="s">
        <v>301</v>
      </c>
      <c r="G131" s="286">
        <v>0</v>
      </c>
      <c r="H131" s="286">
        <v>0</v>
      </c>
      <c r="I131" s="286">
        <v>112</v>
      </c>
      <c r="J131" s="286">
        <v>120</v>
      </c>
      <c r="K131" s="281" t="s">
        <v>299</v>
      </c>
    </row>
    <row r="132" spans="1:11" ht="15.75" x14ac:dyDescent="0.25">
      <c r="A132" s="285" t="s">
        <v>166</v>
      </c>
      <c r="B132" s="286" t="s">
        <v>300</v>
      </c>
      <c r="C132" s="286">
        <v>2023</v>
      </c>
      <c r="D132" s="286">
        <v>3</v>
      </c>
      <c r="E132" s="286">
        <v>8617</v>
      </c>
      <c r="F132" s="286" t="s">
        <v>301</v>
      </c>
      <c r="G132" s="286">
        <v>0</v>
      </c>
      <c r="H132" s="286">
        <v>0</v>
      </c>
      <c r="I132" s="286">
        <v>110</v>
      </c>
      <c r="J132" s="286">
        <v>120</v>
      </c>
      <c r="K132" s="281" t="s">
        <v>299</v>
      </c>
    </row>
    <row r="133" spans="1:11" ht="15.75" x14ac:dyDescent="0.25">
      <c r="A133" s="285" t="s">
        <v>234</v>
      </c>
      <c r="B133" s="286" t="s">
        <v>300</v>
      </c>
      <c r="C133" s="286">
        <v>2023</v>
      </c>
      <c r="D133" s="286">
        <v>3</v>
      </c>
      <c r="E133" s="286">
        <v>8617</v>
      </c>
      <c r="F133" s="286" t="s">
        <v>301</v>
      </c>
      <c r="G133" s="286">
        <v>0</v>
      </c>
      <c r="H133" s="286">
        <v>0</v>
      </c>
      <c r="I133" s="286">
        <v>110</v>
      </c>
      <c r="J133" s="286">
        <v>120</v>
      </c>
      <c r="K133" s="281" t="s">
        <v>299</v>
      </c>
    </row>
    <row r="134" spans="1:11" ht="15.75" x14ac:dyDescent="0.25">
      <c r="A134" s="285" t="s">
        <v>218</v>
      </c>
      <c r="B134" s="286" t="s">
        <v>300</v>
      </c>
      <c r="C134" s="286">
        <v>2023</v>
      </c>
      <c r="D134" s="286">
        <v>3</v>
      </c>
      <c r="E134" s="286">
        <v>8617</v>
      </c>
      <c r="F134" s="286" t="s">
        <v>301</v>
      </c>
      <c r="G134" s="286">
        <v>0</v>
      </c>
      <c r="H134" s="286">
        <v>0</v>
      </c>
      <c r="I134" s="286">
        <v>110</v>
      </c>
      <c r="J134" s="286">
        <v>120</v>
      </c>
      <c r="K134" s="281" t="s">
        <v>299</v>
      </c>
    </row>
    <row r="135" spans="1:11" ht="15.75" x14ac:dyDescent="0.25">
      <c r="A135" s="285" t="s">
        <v>219</v>
      </c>
      <c r="B135" s="286" t="s">
        <v>300</v>
      </c>
      <c r="C135" s="286">
        <v>2023</v>
      </c>
      <c r="D135" s="286">
        <v>3</v>
      </c>
      <c r="E135" s="286">
        <v>8617</v>
      </c>
      <c r="F135" s="286" t="s">
        <v>301</v>
      </c>
      <c r="G135" s="286">
        <v>0</v>
      </c>
      <c r="H135" s="286">
        <v>0</v>
      </c>
      <c r="I135" s="286">
        <v>110</v>
      </c>
      <c r="J135" s="286">
        <v>120</v>
      </c>
      <c r="K135" s="281" t="s">
        <v>299</v>
      </c>
    </row>
    <row r="136" spans="1:11" ht="15.75" x14ac:dyDescent="0.25">
      <c r="A136" s="285" t="s">
        <v>188</v>
      </c>
      <c r="B136" s="286" t="s">
        <v>300</v>
      </c>
      <c r="C136" s="286">
        <v>2023</v>
      </c>
      <c r="D136" s="286">
        <v>3</v>
      </c>
      <c r="E136" s="286">
        <v>8617</v>
      </c>
      <c r="F136" s="286" t="s">
        <v>301</v>
      </c>
      <c r="G136" s="286">
        <v>0</v>
      </c>
      <c r="H136" s="286">
        <v>0</v>
      </c>
      <c r="I136" s="286">
        <v>110</v>
      </c>
      <c r="J136" s="286">
        <v>120</v>
      </c>
      <c r="K136" s="281" t="s">
        <v>299</v>
      </c>
    </row>
  </sheetData>
  <sortState ref="A2:K139">
    <sortCondition ref="A1"/>
  </sortState>
  <phoneticPr fontId="4" type="noConversion"/>
  <printOptions horizontalCentered="1"/>
  <pageMargins left="0" right="0" top="0.25" bottom="0" header="0" footer="0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51"/>
  <sheetViews>
    <sheetView view="pageBreakPreview" zoomScale="130" zoomScaleNormal="100" zoomScaleSheetLayoutView="130" workbookViewId="0">
      <selection activeCell="F8" sqref="F8"/>
    </sheetView>
  </sheetViews>
  <sheetFormatPr defaultRowHeight="15" x14ac:dyDescent="0.25"/>
  <cols>
    <col min="1" max="1" width="4" customWidth="1"/>
    <col min="2" max="2" width="11" customWidth="1"/>
    <col min="3" max="3" width="28.28515625" customWidth="1"/>
    <col min="4" max="4" width="9.42578125" customWidth="1"/>
    <col min="5" max="5" width="11.42578125" customWidth="1"/>
    <col min="6" max="6" width="8.5703125" customWidth="1"/>
    <col min="7" max="7" width="9.42578125" customWidth="1"/>
    <col min="8" max="8" width="12" customWidth="1"/>
    <col min="9" max="9" width="31" customWidth="1"/>
    <col min="10" max="10" width="8.5703125" style="2" customWidth="1"/>
  </cols>
  <sheetData>
    <row r="2" spans="2:14" ht="22.5" x14ac:dyDescent="0.25">
      <c r="B2" s="309" t="s">
        <v>43</v>
      </c>
      <c r="C2" s="309"/>
      <c r="D2" s="309"/>
      <c r="E2" s="309"/>
      <c r="F2" s="309"/>
      <c r="G2" s="309"/>
      <c r="H2" s="309"/>
      <c r="I2" s="51" t="e">
        <f>$C$45</f>
        <v>#REF!</v>
      </c>
      <c r="J2" s="298" t="e">
        <f>IF($J$41=$C$45,"OK","Error")</f>
        <v>#REF!</v>
      </c>
      <c r="K2" s="298"/>
      <c r="L2" s="298"/>
    </row>
    <row r="3" spans="2:14" ht="15.75" thickBot="1" x14ac:dyDescent="0.3">
      <c r="H3" s="2"/>
      <c r="I3" s="52" t="e">
        <f>IF($J$41=$I$40,"OK","Error")</f>
        <v>#REF!</v>
      </c>
      <c r="J3" s="299"/>
      <c r="K3" s="299"/>
      <c r="L3" s="299"/>
    </row>
    <row r="4" spans="2:14" ht="20.25" x14ac:dyDescent="0.25">
      <c r="C4" s="310" t="s">
        <v>44</v>
      </c>
      <c r="D4" s="310"/>
      <c r="E4" s="310"/>
      <c r="F4" s="310"/>
      <c r="G4" s="310"/>
      <c r="H4" s="2"/>
      <c r="J4" s="300" t="e">
        <f>SUM($H$11:$H$16,$H$20:$H$24,$H$28:$H$32,$H$36:$H$41)/SUM($D$11:$D$16,$D$20:$D$24,$D$28:$D$32,$D$36:$D$41)</f>
        <v>#REF!</v>
      </c>
      <c r="K4" s="301"/>
      <c r="L4" s="302"/>
    </row>
    <row r="5" spans="2:14" x14ac:dyDescent="0.25">
      <c r="H5" s="2"/>
      <c r="J5" s="303"/>
      <c r="K5" s="304"/>
      <c r="L5" s="305"/>
    </row>
    <row r="6" spans="2:14" ht="19.5" customHeight="1" x14ac:dyDescent="0.25">
      <c r="B6" s="3" t="e">
        <f>CONCATENATE("Name: ",PROPER(VLOOKUP(F8,#REF!,3,FALSE)))</f>
        <v>#REF!</v>
      </c>
      <c r="C6" s="4"/>
      <c r="D6" s="77" t="e">
        <f>CONCATENATE("Father Name: ",PROPER(VLOOKUP(F8,#REF!,4,FALSE)))</f>
        <v>#REF!</v>
      </c>
      <c r="H6" s="2"/>
      <c r="J6" s="303"/>
      <c r="K6" s="304"/>
      <c r="L6" s="305"/>
    </row>
    <row r="7" spans="2:14" ht="19.5" customHeight="1" x14ac:dyDescent="0.25">
      <c r="B7" s="5" t="s">
        <v>45</v>
      </c>
      <c r="D7" s="76" t="e">
        <f>CONCATENATE("Registration No.  ",UPPER(VLOOKUP(F8,#REF!,2,FALSE)))</f>
        <v>#REF!</v>
      </c>
      <c r="H7" s="2"/>
      <c r="J7" s="303"/>
      <c r="K7" s="304"/>
      <c r="L7" s="305"/>
    </row>
    <row r="8" spans="2:14" ht="19.5" customHeight="1" thickBot="1" x14ac:dyDescent="0.3">
      <c r="B8" s="6" t="s">
        <v>46</v>
      </c>
      <c r="C8" s="4"/>
      <c r="D8" s="76" t="s">
        <v>47</v>
      </c>
      <c r="F8" s="7">
        <v>6</v>
      </c>
      <c r="G8" s="8"/>
      <c r="H8" s="2"/>
      <c r="J8" s="303"/>
      <c r="K8" s="304"/>
      <c r="L8" s="305"/>
    </row>
    <row r="9" spans="2:14" ht="15.75" thickBot="1" x14ac:dyDescent="0.3">
      <c r="B9" s="9" t="s">
        <v>11</v>
      </c>
      <c r="C9" s="10" t="s">
        <v>48</v>
      </c>
      <c r="D9" s="11" t="s">
        <v>49</v>
      </c>
      <c r="E9" s="12" t="s">
        <v>12</v>
      </c>
      <c r="F9" s="11" t="s">
        <v>7</v>
      </c>
      <c r="G9" s="11" t="s">
        <v>2</v>
      </c>
      <c r="H9" s="13" t="s">
        <v>50</v>
      </c>
      <c r="J9" s="306"/>
      <c r="K9" s="307"/>
      <c r="L9" s="308"/>
    </row>
    <row r="10" spans="2:14" ht="20.25" customHeight="1" thickBot="1" x14ac:dyDescent="0.3">
      <c r="B10" s="296" t="s">
        <v>51</v>
      </c>
      <c r="C10" s="297"/>
      <c r="D10" s="14"/>
      <c r="E10" s="14"/>
      <c r="F10" s="15"/>
      <c r="G10" s="16"/>
      <c r="H10" s="17"/>
    </row>
    <row r="11" spans="2:14" x14ac:dyDescent="0.25">
      <c r="B11" s="292" t="str">
        <f>PROPER(N11)</f>
        <v>Financial Accounting</v>
      </c>
      <c r="C11" s="293"/>
      <c r="D11" s="18">
        <v>3</v>
      </c>
      <c r="E11" s="19" t="e">
        <f>VLOOKUP($F$8,'sheet 1'!#REF!,6,FALSE)</f>
        <v>#REF!</v>
      </c>
      <c r="F11" s="18" t="e">
        <f>IF(E11&gt;=90,"A+",IF(E11&gt;=80,"A",IF(E11&gt;=75,"B+",IF(E11&gt;=70,"B",IF(E11&gt;=65,"C+",IF(E11&gt;=60,"C",IF(E11&gt;=55,"D+",IF(E11&gt;=50,"D","F"))))))))</f>
        <v>#REF!</v>
      </c>
      <c r="G11" s="20" t="e">
        <f>IF(AND(E11&gt;=50,E11&lt;60),1+(E11/10)-5,IF(AND(E11&gt;=60,E11&lt;70),2+(E11/10)-6,IF(AND(E11&gt;=70,E11&lt;80),3+(E11/10)-7,IF(E11&gt;=80,4,IF(E11&lt;50,0)))))</f>
        <v>#REF!</v>
      </c>
      <c r="H11" s="21" t="e">
        <f>PRODUCT(D11,G11)</f>
        <v>#REF!</v>
      </c>
      <c r="J11" s="2" t="e">
        <f>SUM(H11:H16)/SUM(D11:D16)</f>
        <v>#REF!</v>
      </c>
      <c r="N11" t="s">
        <v>27</v>
      </c>
    </row>
    <row r="12" spans="2:14" x14ac:dyDescent="0.25">
      <c r="B12" s="288" t="str">
        <f>PROPER(N12)</f>
        <v>Business Finance</v>
      </c>
      <c r="C12" s="289"/>
      <c r="D12" s="24">
        <v>3</v>
      </c>
      <c r="E12" s="25" t="e">
        <f>VLOOKUP($F$8,'sheet 1'!#REF!,10,FALSE)</f>
        <v>#REF!</v>
      </c>
      <c r="F12" s="24" t="e">
        <f>IF(E12&gt;=90,"A+",IF(E12&gt;=80,"A",IF(E12&gt;=75,"B+",IF(E12&gt;=70,"B",IF(E12&gt;=65,"C+",IF(E12&gt;=60,"C",IF(E12&gt;=55,"D+",IF(E12&gt;=50,"D","F"))))))))</f>
        <v>#REF!</v>
      </c>
      <c r="G12" s="26" t="e">
        <f>IF(AND(E12&gt;=50,E12&lt;60),1+(E12/10)-5,IF(AND(E12&gt;=60,E12&lt;70),2+(E12/10)-6,IF(AND(E12&gt;=70,E12&lt;80),3+(E12/10)-7,IF(E12&gt;=80,4,IF(E12&lt;50,0)))))</f>
        <v>#REF!</v>
      </c>
      <c r="H12" s="27" t="e">
        <f>PRODUCT(D12,G12)</f>
        <v>#REF!</v>
      </c>
      <c r="N12" t="s">
        <v>28</v>
      </c>
    </row>
    <row r="13" spans="2:14" x14ac:dyDescent="0.25">
      <c r="B13" s="288" t="str">
        <f>PROPER(N13)</f>
        <v>Business Management</v>
      </c>
      <c r="C13" s="289"/>
      <c r="D13" s="24">
        <v>3</v>
      </c>
      <c r="E13" s="25" t="e">
        <f>VLOOKUP($F$8,'sheet 1'!#REF!,14,FALSE)</f>
        <v>#REF!</v>
      </c>
      <c r="F13" s="24" t="e">
        <f>IF(E13&gt;=90,"A+",IF(E13&gt;=80,"A",IF(E13&gt;=75,"B+",IF(E13&gt;=70,"B",IF(E13&gt;=65,"C+",IF(E13&gt;=60,"C",IF(E13&gt;=55,"D+",IF(E13&gt;=50,"D","F"))))))))</f>
        <v>#REF!</v>
      </c>
      <c r="G13" s="26" t="e">
        <f>IF(AND(E13&gt;=50,E13&lt;60),1+(E13/10)-5,IF(AND(E13&gt;=60,E13&lt;70),2+(E13/10)-6,IF(AND(E13&gt;=70,E13&lt;80),3+(E13/10)-7,IF(E13&gt;=80,4,IF(E13&lt;50,0)))))</f>
        <v>#REF!</v>
      </c>
      <c r="H13" s="27" t="e">
        <f>PRODUCT(D13,G13)</f>
        <v>#REF!</v>
      </c>
      <c r="N13" t="s">
        <v>29</v>
      </c>
    </row>
    <row r="14" spans="2:14" x14ac:dyDescent="0.25">
      <c r="B14" s="288" t="str">
        <f>PROPER(N14)</f>
        <v>Principle Of Economics</v>
      </c>
      <c r="C14" s="289"/>
      <c r="D14" s="24">
        <v>3</v>
      </c>
      <c r="E14" s="25" t="e">
        <f>VLOOKUP($F$8,'sheet 1'!#REF!,18,FALSE)</f>
        <v>#REF!</v>
      </c>
      <c r="F14" s="24" t="e">
        <f>IF(E14&gt;=90,"A+",IF(E14&gt;=80,"A",IF(E14&gt;=75,"B+",IF(E14&gt;=70,"B",IF(E14&gt;=65,"C+",IF(E14&gt;=60,"C",IF(E14&gt;=55,"D+",IF(E14&gt;=50,"D","F"))))))))</f>
        <v>#REF!</v>
      </c>
      <c r="G14" s="26" t="e">
        <f>IF(AND(E14&gt;=50,E14&lt;60),1+(E14/10)-5,IF(AND(E14&gt;=60,E14&lt;70),2+(E14/10)-6,IF(AND(E14&gt;=70,E14&lt;80),3+(E14/10)-7,IF(E14&gt;=80,4,IF(E14&lt;50,0)))))</f>
        <v>#REF!</v>
      </c>
      <c r="H14" s="27" t="e">
        <f>PRODUCT(D14,G14)</f>
        <v>#REF!</v>
      </c>
      <c r="N14" t="s">
        <v>30</v>
      </c>
    </row>
    <row r="15" spans="2:14" x14ac:dyDescent="0.25">
      <c r="B15" s="288" t="str">
        <f>PROPER(N15)</f>
        <v>Principles Of Marketing</v>
      </c>
      <c r="C15" s="289"/>
      <c r="D15" s="24">
        <v>3</v>
      </c>
      <c r="E15" s="25" t="e">
        <f>VLOOKUP($F$8,'sheet 1'!#REF!,22,FALSE)</f>
        <v>#REF!</v>
      </c>
      <c r="F15" s="24" t="e">
        <f>IF(E15&gt;=90,"A+",IF(E15&gt;=80,"A",IF(E15&gt;=75,"B+",IF(E15&gt;=70,"B",IF(E15&gt;=65,"C+",IF(E15&gt;=60,"C",IF(E15&gt;=55,"D+",IF(E15&gt;=50,"D","F"))))))))</f>
        <v>#REF!</v>
      </c>
      <c r="G15" s="26" t="e">
        <f>IF(AND(E15&gt;=50,E15&lt;60),1+(E15/10)-5,IF(AND(E15&gt;=60,E15&lt;70),2+(E15/10)-6,IF(AND(E15&gt;=70,E15&lt;80),3+(E15/10)-7,IF(E15&gt;=80,4,IF(E15&lt;50,0)))))</f>
        <v>#REF!</v>
      </c>
      <c r="H15" s="27" t="e">
        <f>PRODUCT(D15,G15)</f>
        <v>#REF!</v>
      </c>
      <c r="N15" t="s">
        <v>31</v>
      </c>
    </row>
    <row r="16" spans="2:14" ht="15.75" thickBot="1" x14ac:dyDescent="0.3">
      <c r="B16" s="290"/>
      <c r="C16" s="291"/>
      <c r="D16" s="24"/>
      <c r="E16" s="25"/>
      <c r="F16" s="24"/>
      <c r="G16" s="26"/>
      <c r="H16" s="27"/>
    </row>
    <row r="17" spans="2:14" x14ac:dyDescent="0.25">
      <c r="B17" s="28" t="s">
        <v>52</v>
      </c>
      <c r="C17" s="29">
        <f>SUM(D11:D16)</f>
        <v>15</v>
      </c>
      <c r="D17" s="30" t="s">
        <v>13</v>
      </c>
      <c r="E17" s="31" t="e">
        <f>SUM(H11:H16)/SUM(D11:D16)</f>
        <v>#REF!</v>
      </c>
      <c r="F17" s="30" t="s">
        <v>53</v>
      </c>
      <c r="G17" s="30" t="e">
        <f>IF(E17&gt;=4,"A",IF(E17&gt;=4,"A",IF(E17&gt;=3.5,"B+",IF(E17&gt;=3,"B",IF(E17&gt;=2.5,"C",IF(E17&gt;=2,"C",IF(E17&gt;=1.5,"D+",IF(E17&gt;=1,"D","F"))))))))</f>
        <v>#REF!</v>
      </c>
      <c r="H17" s="32"/>
    </row>
    <row r="18" spans="2:14" ht="15.75" thickBot="1" x14ac:dyDescent="0.3">
      <c r="B18" s="33" t="s">
        <v>54</v>
      </c>
      <c r="C18" s="34">
        <f>SUM(D11:D16)</f>
        <v>15</v>
      </c>
      <c r="D18" s="35" t="s">
        <v>55</v>
      </c>
      <c r="E18" s="36" t="e">
        <f>SUM(G11:G16)</f>
        <v>#REF!</v>
      </c>
      <c r="F18" s="37" t="s">
        <v>56</v>
      </c>
      <c r="G18" s="78" t="e">
        <f>IF(E17&gt;=4,"Excellent",IF(E17&gt;=3.5,"Very Good",IF(E17&gt;=3,"Good",IF(E17&gt;=2.5,"Fair",IF(E17&gt;=2,"Fair",IF(E17&gt;=1.5,"Pass(Probation)",IF(E17&gt;=1,"Pass(Probation)","Fail")))))))</f>
        <v>#REF!</v>
      </c>
      <c r="H18" s="39"/>
    </row>
    <row r="19" spans="2:14" ht="21" customHeight="1" thickBot="1" x14ac:dyDescent="0.3">
      <c r="B19" s="296" t="s">
        <v>10</v>
      </c>
      <c r="C19" s="297"/>
      <c r="D19" s="40"/>
      <c r="E19" s="40"/>
      <c r="F19" s="41"/>
      <c r="G19" s="42"/>
      <c r="H19" s="43"/>
    </row>
    <row r="20" spans="2:14" x14ac:dyDescent="0.25">
      <c r="B20" s="292" t="str">
        <f>PROPER(N20)</f>
        <v>Financial Statement Analysis</v>
      </c>
      <c r="C20" s="293"/>
      <c r="D20" s="18">
        <v>3</v>
      </c>
      <c r="E20" s="19" t="e">
        <f>VLOOKUP($F$8,'sheet 1'!#REF!,36,FALSE)</f>
        <v>#REF!</v>
      </c>
      <c r="F20" s="18" t="e">
        <f>IF(E20&gt;=90,"A+",IF(E20&gt;=80,"A",IF(E20&gt;=75,"B+",IF(E20&gt;=70,"B",IF(E20&gt;=65,"C+",IF(E20&gt;=60,"C",IF(E20&gt;=55,"D+",IF(E20&gt;=50,"D","F"))))))))</f>
        <v>#REF!</v>
      </c>
      <c r="G20" s="20" t="e">
        <f>IF(AND(E20&gt;=50,E20&lt;60),1+(E20/10)-5,IF(AND(E20&gt;=60,E20&lt;70),2+(E20/10)-6,IF(AND(E20&gt;=70,E20&lt;80),3+(E20/10)-7,IF(E20&gt;=80,4,IF(E20&lt;50,0)))))</f>
        <v>#REF!</v>
      </c>
      <c r="H20" s="21" t="e">
        <f>PRODUCT(D20,G20)</f>
        <v>#REF!</v>
      </c>
      <c r="N20" t="s">
        <v>32</v>
      </c>
    </row>
    <row r="21" spans="2:14" x14ac:dyDescent="0.25">
      <c r="B21" s="288" t="str">
        <f>PROPER(N21)</f>
        <v>Cost Accounting</v>
      </c>
      <c r="C21" s="289"/>
      <c r="D21" s="24">
        <v>3</v>
      </c>
      <c r="E21" s="25" t="e">
        <f>VLOOKUP($F$8,'sheet 1'!#REF!,40,FALSE)</f>
        <v>#REF!</v>
      </c>
      <c r="F21" s="24" t="e">
        <f>IF(E21&gt;=90,"A+",IF(E21&gt;=80,"A",IF(E21&gt;=75,"B+",IF(E21&gt;=70,"B",IF(E21&gt;=65,"C+",IF(E21&gt;=60,"C",IF(E21&gt;=55,"D+",IF(E21&gt;=50,"D","F"))))))))</f>
        <v>#REF!</v>
      </c>
      <c r="G21" s="26" t="e">
        <f>IF(AND(E21&gt;=50,E21&lt;60),1+(E21/10)-5,IF(AND(E21&gt;=60,E21&lt;70),2+(E21/10)-6,IF(AND(E21&gt;=70,E21&lt;80),3+(E21/10)-7,IF(E21&gt;=80,4,IF(E21&lt;50,0)))))</f>
        <v>#REF!</v>
      </c>
      <c r="H21" s="27" t="e">
        <f>PRODUCT(D21,G21)</f>
        <v>#REF!</v>
      </c>
      <c r="N21" t="s">
        <v>33</v>
      </c>
    </row>
    <row r="22" spans="2:14" x14ac:dyDescent="0.25">
      <c r="B22" s="288" t="str">
        <f>PROPER(N22)</f>
        <v>Investment Analysis And Portfolio Management</v>
      </c>
      <c r="C22" s="289"/>
      <c r="D22" s="24">
        <v>3</v>
      </c>
      <c r="E22" s="25" t="e">
        <f>VLOOKUP($F$8,'sheet 1'!#REF!,44,FALSE)</f>
        <v>#REF!</v>
      </c>
      <c r="F22" s="24" t="e">
        <f>IF(E22&gt;=90,"A+",IF(E22&gt;=80,"A",IF(E22&gt;=75,"B+",IF(E22&gt;=70,"B",IF(E22&gt;=65,"C+",IF(E22&gt;=60,"C",IF(E22&gt;=55,"D+",IF(E22&gt;=50,"D","F"))))))))</f>
        <v>#REF!</v>
      </c>
      <c r="G22" s="26" t="e">
        <f>IF(AND(E22&gt;=50,E22&lt;60),1+(E22/10)-5,IF(AND(E22&gt;=60,E22&lt;70),2+(E22/10)-6,IF(AND(E22&gt;=70,E22&lt;80),3+(E22/10)-7,IF(E22&gt;=80,4,IF(E22&lt;50,0)))))</f>
        <v>#REF!</v>
      </c>
      <c r="H22" s="27" t="e">
        <f>PRODUCT(D22,G22)</f>
        <v>#REF!</v>
      </c>
      <c r="N22" t="s">
        <v>34</v>
      </c>
    </row>
    <row r="23" spans="2:14" x14ac:dyDescent="0.25">
      <c r="B23" s="22" t="str">
        <f>PROPER(N23)</f>
        <v>Islamic Finance</v>
      </c>
      <c r="C23" s="23"/>
      <c r="D23" s="24">
        <v>3</v>
      </c>
      <c r="E23" s="25" t="e">
        <f>VLOOKUP($F$8,'sheet 1'!#REF!,48,FALSE)</f>
        <v>#REF!</v>
      </c>
      <c r="F23" s="24" t="e">
        <f>IF(E23&gt;=90,"A+",IF(E23&gt;=80,"A",IF(E23&gt;=75,"B+",IF(E23&gt;=70,"B",IF(E23&gt;=65,"C+",IF(E23&gt;=60,"C",IF(E23&gt;=55,"D+",IF(E23&gt;=50,"D","F"))))))))</f>
        <v>#REF!</v>
      </c>
      <c r="G23" s="26" t="e">
        <f>IF(AND(E23&gt;=50,E23&lt;60),1+(E23/10)-5,IF(AND(E23&gt;=60,E23&lt;70),2+(E23/10)-6,IF(AND(E23&gt;=70,E23&lt;80),3+(E23/10)-7,IF(E23&gt;=80,4,IF(E23&lt;50,0)))))</f>
        <v>#REF!</v>
      </c>
      <c r="H23" s="27" t="e">
        <f>PRODUCT(D23,G23)</f>
        <v>#REF!</v>
      </c>
      <c r="N23" t="s">
        <v>35</v>
      </c>
    </row>
    <row r="24" spans="2:14" ht="15.75" thickBot="1" x14ac:dyDescent="0.3">
      <c r="B24" s="22" t="str">
        <f>PROPER(N24)</f>
        <v>Method In Business Research</v>
      </c>
      <c r="C24" s="23"/>
      <c r="D24" s="24">
        <v>3</v>
      </c>
      <c r="E24" s="25" t="e">
        <f>VLOOKUP($F$8,'sheet 1'!#REF!,52,FALSE)</f>
        <v>#REF!</v>
      </c>
      <c r="F24" s="24" t="e">
        <f>IF(E24&gt;=90,"A+",IF(E24&gt;=80,"A",IF(E24&gt;=75,"B+",IF(E24&gt;=70,"B",IF(E24&gt;=65,"C+",IF(E24&gt;=60,"C",IF(E24&gt;=55,"D+",IF(E24&gt;=50,"D","F"))))))))</f>
        <v>#REF!</v>
      </c>
      <c r="G24" s="26" t="e">
        <f>IF(AND(E24&gt;=50,E24&lt;60),1+(E24/10)-5,IF(AND(E24&gt;=60,E24&lt;70),2+(E24/10)-6,IF(AND(E24&gt;=70,E24&lt;80),3+(E24/10)-7,IF(E24&gt;=80,4,IF(E24&lt;50,0)))))</f>
        <v>#REF!</v>
      </c>
      <c r="H24" s="27" t="e">
        <f>PRODUCT(D24,G24)</f>
        <v>#REF!</v>
      </c>
      <c r="N24" t="s">
        <v>36</v>
      </c>
    </row>
    <row r="25" spans="2:14" x14ac:dyDescent="0.25">
      <c r="B25" s="28" t="s">
        <v>52</v>
      </c>
      <c r="C25" s="29">
        <f>SUM(D20:D24)</f>
        <v>15</v>
      </c>
      <c r="D25" s="30" t="s">
        <v>13</v>
      </c>
      <c r="E25" s="31" t="e">
        <f>SUM(H20:H24)/SUM(D20:D24)</f>
        <v>#REF!</v>
      </c>
      <c r="F25" s="30" t="s">
        <v>53</v>
      </c>
      <c r="G25" s="30" t="e">
        <f>IF(E25&gt;=4,"A",IF(E25&gt;=4,"A",IF(E25&gt;=3.5,"B+",IF(E25&gt;=3,"B",IF(E25&gt;=2.5,"C",IF(E25&gt;=2,"C",IF(E25&gt;=1.5,"D+",IF(E25&gt;=1,"D","F"))))))))</f>
        <v>#REF!</v>
      </c>
      <c r="H25" s="32"/>
    </row>
    <row r="26" spans="2:14" ht="15.75" thickBot="1" x14ac:dyDescent="0.3">
      <c r="B26" s="33" t="s">
        <v>54</v>
      </c>
      <c r="C26" s="34">
        <f>SUM(D20:D24,D11:D16)</f>
        <v>30</v>
      </c>
      <c r="D26" s="35" t="s">
        <v>55</v>
      </c>
      <c r="E26" s="36" t="e">
        <f>SUM(G19:G24)</f>
        <v>#REF!</v>
      </c>
      <c r="F26" s="37" t="s">
        <v>56</v>
      </c>
      <c r="G26" s="78" t="e">
        <f>IF(E25&gt;=4,"Excellent",IF(E25&gt;=3.5,"Very Good",IF(E25&gt;=3,"Good",IF(E25&gt;=2.5,"Fair",IF(E25&gt;=2,"Fair",IF(E25&gt;=1.5,"Pass(Probation)",IF(E25&gt;=1,"Pass(Probation)","Fail")))))))</f>
        <v>#REF!</v>
      </c>
      <c r="H26" s="39"/>
    </row>
    <row r="27" spans="2:14" ht="21.75" customHeight="1" thickBot="1" x14ac:dyDescent="0.3">
      <c r="B27" s="296" t="s">
        <v>14</v>
      </c>
      <c r="C27" s="297"/>
      <c r="D27" s="44"/>
      <c r="E27" s="44"/>
      <c r="F27" s="45"/>
      <c r="G27" s="16"/>
      <c r="H27" s="17"/>
    </row>
    <row r="28" spans="2:14" ht="30.75" customHeight="1" x14ac:dyDescent="0.25">
      <c r="B28" s="294" t="str">
        <f>N28</f>
        <v>Computer Application in Business and E-Commerce</v>
      </c>
      <c r="C28" s="295"/>
      <c r="D28" s="18">
        <v>3</v>
      </c>
      <c r="E28" s="19" t="e">
        <f>VLOOKUP($F$8,'sheet 1'!#REF!,67,FALSE)</f>
        <v>#REF!</v>
      </c>
      <c r="F28" s="18" t="e">
        <f>IF(E28&gt;=90,"A+",IF(E28&gt;=80,"A",IF(E28&gt;=75,"B+",IF(E28&gt;=70,"B",IF(E28&gt;=65,"C+",IF(E28&gt;=60,"C",IF(E28&gt;=55,"D+",IF(E28&gt;=50,"D","F"))))))))</f>
        <v>#REF!</v>
      </c>
      <c r="G28" s="20" t="e">
        <f>IF(AND(E28&gt;=50,E28&lt;60),1+(E28/10)-5,IF(AND(E28&gt;=60,E28&lt;70),2+(E28/10)-6,IF(AND(E28&gt;=70,E28&lt;80),3+(E28/10)-7,IF(E28&gt;=80,4,IF(E28&lt;50,0)))))</f>
        <v>#REF!</v>
      </c>
      <c r="H28" s="46" t="e">
        <f>PRODUCT(D28,G28)</f>
        <v>#REF!</v>
      </c>
      <c r="N28" t="s">
        <v>37</v>
      </c>
    </row>
    <row r="29" spans="2:14" x14ac:dyDescent="0.25">
      <c r="B29" s="288" t="str">
        <f>N29</f>
        <v xml:space="preserve">Human Resource Management </v>
      </c>
      <c r="C29" s="289"/>
      <c r="D29" s="24">
        <v>3</v>
      </c>
      <c r="E29" s="25" t="e">
        <f>VLOOKUP($F$8,'sheet 1'!#REF!,71,FALSE)</f>
        <v>#REF!</v>
      </c>
      <c r="F29" s="24" t="e">
        <f>IF(E29&gt;=90,"A+",IF(E29&gt;=80,"A",IF(E29&gt;=75,"B+",IF(E29&gt;=70,"B",IF(E29&gt;=65,"C+",IF(E29&gt;=60,"C",IF(E29&gt;=55,"D+",IF(E29&gt;=50,"D","F"))))))))</f>
        <v>#REF!</v>
      </c>
      <c r="G29" s="26" t="e">
        <f>IF(AND(E29&gt;=50,E29&lt;60),1+(E29/10)-5,IF(AND(E29&gt;=60,E29&lt;70),2+(E29/10)-6,IF(AND(E29&gt;=70,E29&lt;80),3+(E29/10)-7,IF(E29&gt;=80,4,IF(E29&lt;50,0)))))</f>
        <v>#REF!</v>
      </c>
      <c r="H29" s="27" t="e">
        <f>PRODUCT(D29,G29)</f>
        <v>#REF!</v>
      </c>
      <c r="N29" t="s">
        <v>38</v>
      </c>
    </row>
    <row r="30" spans="2:14" x14ac:dyDescent="0.25">
      <c r="B30" s="288" t="str">
        <f>N30</f>
        <v>Accounting Information System</v>
      </c>
      <c r="C30" s="289"/>
      <c r="D30" s="47">
        <v>3</v>
      </c>
      <c r="E30" s="48" t="e">
        <f>VLOOKUP($F$8,'sheet 1'!#REF!,75,FALSE)</f>
        <v>#REF!</v>
      </c>
      <c r="F30" s="47" t="e">
        <f>IF(E30&gt;=90,"A+",IF(E30&gt;=80,"A",IF(E30&gt;=75,"B+",IF(E30&gt;=70,"B",IF(E30&gt;=65,"C+",IF(E30&gt;=60,"C",IF(E30&gt;=55,"D+",IF(E30&gt;=50,"D","F"))))))))</f>
        <v>#REF!</v>
      </c>
      <c r="G30" s="49" t="e">
        <f>IF(AND(E30&gt;=50,E30&lt;60),1+(E30/10)-5,IF(AND(E30&gt;=60,E30&lt;70),2+(E30/10)-6,IF(AND(E30&gt;=70,E30&lt;80),3+(E30/10)-7,IF(E30&gt;=80,4,IF(E30&lt;50,0)))))</f>
        <v>#REF!</v>
      </c>
      <c r="H30" s="27" t="e">
        <f>PRODUCT(D30,G30)</f>
        <v>#REF!</v>
      </c>
      <c r="N30" t="s">
        <v>63</v>
      </c>
    </row>
    <row r="31" spans="2:14" x14ac:dyDescent="0.25">
      <c r="B31" s="288" t="str">
        <f>N31</f>
        <v>Advance Managerial Accounting</v>
      </c>
      <c r="C31" s="289"/>
      <c r="D31" s="47">
        <v>3</v>
      </c>
      <c r="E31" s="48" t="e">
        <f>VLOOKUP($F$8,'sheet 1'!#REF!,79,FALSE)</f>
        <v>#REF!</v>
      </c>
      <c r="F31" s="47" t="e">
        <f>IF(E31&gt;=90,"A+",IF(E31&gt;=80,"A",IF(E31&gt;=75,"B+",IF(E31&gt;=70,"B",IF(E31&gt;=65,"C+",IF(E31&gt;=60,"C",IF(E31&gt;=55,"D+",IF(E31&gt;=50,"D","F"))))))))</f>
        <v>#REF!</v>
      </c>
      <c r="G31" s="49" t="e">
        <f>IF(AND(E31&gt;=50,E31&lt;60),1+(E31/10)-5,IF(AND(E31&gt;=60,E31&lt;70),2+(E31/10)-6,IF(AND(E31&gt;=70,E31&lt;80),3+(E31/10)-7,IF(E31&gt;=80,4,IF(E31&lt;50,0)))))</f>
        <v>#REF!</v>
      </c>
      <c r="H31" s="27" t="e">
        <f>PRODUCT(D31,G31)</f>
        <v>#REF!</v>
      </c>
      <c r="N31" t="s">
        <v>39</v>
      </c>
    </row>
    <row r="32" spans="2:14" ht="15.75" thickBot="1" x14ac:dyDescent="0.3">
      <c r="B32" s="290" t="str">
        <f>N32</f>
        <v xml:space="preserve">Financial Management </v>
      </c>
      <c r="C32" s="291"/>
      <c r="D32" s="24">
        <v>3</v>
      </c>
      <c r="E32" s="25" t="e">
        <f>VLOOKUP($F$8,'sheet 1'!#REF!,83,FALSE)</f>
        <v>#REF!</v>
      </c>
      <c r="F32" s="24" t="e">
        <f>IF(E32&gt;=90,"A+",IF(E32&gt;=80,"A",IF(E32&gt;=75,"B+",IF(E32&gt;=70,"B",IF(E32&gt;=65,"C+",IF(E32&gt;=60,"C",IF(E32&gt;=55,"D+",IF(E32&gt;=50,"D","F"))))))))</f>
        <v>#REF!</v>
      </c>
      <c r="G32" s="26" t="e">
        <f>IF(AND(E32&gt;=50,E32&lt;60),1+(E32/10)-5,IF(AND(E32&gt;=60,E32&lt;70),2+(E32/10)-6,IF(AND(E32&gt;=70,E32&lt;80),3+(E32/10)-7,IF(E32&gt;=80,4,IF(E32&lt;50,0)))))</f>
        <v>#REF!</v>
      </c>
      <c r="H32" s="27" t="e">
        <f>PRODUCT(D32,G32)</f>
        <v>#REF!</v>
      </c>
      <c r="N32" t="s">
        <v>40</v>
      </c>
    </row>
    <row r="33" spans="2:14" x14ac:dyDescent="0.25">
      <c r="B33" s="28" t="s">
        <v>52</v>
      </c>
      <c r="C33" s="29">
        <f>SUM(D28:D32)</f>
        <v>15</v>
      </c>
      <c r="D33" s="30" t="s">
        <v>13</v>
      </c>
      <c r="E33" s="31" t="e">
        <f>SUM(H28:H32)/SUM(D28:D32)</f>
        <v>#REF!</v>
      </c>
      <c r="F33" s="30" t="s">
        <v>53</v>
      </c>
      <c r="G33" s="30" t="e">
        <f>IF(E33&gt;=4,"A",IF(E33&gt;=4,"A",IF(E33&gt;=3.5,"B+",IF(E33&gt;=3,"B",IF(E33&gt;=2.5,"C",IF(E33&gt;=2,"C",IF(E33&gt;=1.5,"D+",IF(E33&gt;=1,"D","F"))))))))</f>
        <v>#REF!</v>
      </c>
      <c r="H33" s="32"/>
    </row>
    <row r="34" spans="2:14" ht="15.75" thickBot="1" x14ac:dyDescent="0.3">
      <c r="B34" s="33" t="s">
        <v>54</v>
      </c>
      <c r="C34" s="34">
        <f>SUM(D28:D32,D20:D24,D11:D16)</f>
        <v>45</v>
      </c>
      <c r="D34" s="35" t="s">
        <v>55</v>
      </c>
      <c r="E34" s="36" t="e">
        <f>SUM(G27:G32)</f>
        <v>#REF!</v>
      </c>
      <c r="F34" s="37" t="s">
        <v>56</v>
      </c>
      <c r="G34" s="78" t="e">
        <f>IF(E33&gt;=4,"Excellent",IF(E33&gt;=3.5,"Very Good",IF(E33&gt;=3,"Good",IF(E33&gt;=2.5,"Fair",IF(E33&gt;=2,"Fair",IF(E33&gt;=1.5,"Pass(Probation)",IF(E33&gt;=1,"Pass(Probation)","Fail")))))))</f>
        <v>#REF!</v>
      </c>
      <c r="H34" s="39"/>
    </row>
    <row r="35" spans="2:14" ht="22.5" customHeight="1" thickBot="1" x14ac:dyDescent="0.3">
      <c r="B35" s="296" t="s">
        <v>15</v>
      </c>
      <c r="C35" s="297"/>
      <c r="D35" s="44"/>
      <c r="E35" s="50"/>
      <c r="F35" s="45"/>
      <c r="G35" s="16"/>
      <c r="H35" s="17"/>
    </row>
    <row r="36" spans="2:14" x14ac:dyDescent="0.25">
      <c r="B36" s="292" t="str">
        <f t="shared" ref="B36:B41" si="0">N36</f>
        <v>Entrepreneurship &amp; SME Management</v>
      </c>
      <c r="C36" s="293"/>
      <c r="D36" s="18">
        <v>3</v>
      </c>
      <c r="E36" s="19" t="e">
        <f>VLOOKUP($F$8,'sheet 1'!#REF!,98,FALSE)</f>
        <v>#REF!</v>
      </c>
      <c r="F36" s="18" t="e">
        <f t="shared" ref="F36:F41" si="1">IF(E36&gt;=90,"A+",IF(E36&gt;=80,"A",IF(E36&gt;=75,"B+",IF(E36&gt;=70,"B",IF(E36&gt;=65,"C+",IF(E36&gt;=60,"C",IF(E36&gt;=55,"D+",IF(E36&gt;=50,"D","F"))))))))</f>
        <v>#REF!</v>
      </c>
      <c r="G36" s="20" t="e">
        <f t="shared" ref="G36:G41" si="2">IF(AND(E36&gt;=50,E36&lt;60),1+(E36/10)-5,IF(AND(E36&gt;=60,E36&lt;70),2+(E36/10)-6,IF(AND(E36&gt;=70,E36&lt;80),3+(E36/10)-7,IF(E36&gt;=80,4,IF(E36&lt;50,0)))))</f>
        <v>#REF!</v>
      </c>
      <c r="H36" s="21" t="e">
        <f t="shared" ref="H36:H41" si="3">PRODUCT(D36,G36)</f>
        <v>#REF!</v>
      </c>
      <c r="N36" t="s">
        <v>64</v>
      </c>
    </row>
    <row r="37" spans="2:14" x14ac:dyDescent="0.25">
      <c r="B37" s="288" t="str">
        <f t="shared" si="0"/>
        <v>Advanced Accounting for Business</v>
      </c>
      <c r="C37" s="289"/>
      <c r="D37" s="24">
        <v>3</v>
      </c>
      <c r="E37" s="25" t="e">
        <f>VLOOKUP($F$8,'sheet 1'!#REF!,102,FALSE)</f>
        <v>#REF!</v>
      </c>
      <c r="F37" s="24" t="e">
        <f t="shared" si="1"/>
        <v>#REF!</v>
      </c>
      <c r="G37" s="26" t="e">
        <f t="shared" si="2"/>
        <v>#REF!</v>
      </c>
      <c r="H37" s="27" t="e">
        <f t="shared" si="3"/>
        <v>#REF!</v>
      </c>
      <c r="N37" t="s">
        <v>65</v>
      </c>
    </row>
    <row r="38" spans="2:14" x14ac:dyDescent="0.25">
      <c r="B38" s="288" t="str">
        <f t="shared" si="0"/>
        <v>Advanced Auditing Problems</v>
      </c>
      <c r="C38" s="289"/>
      <c r="D38" s="24">
        <v>3</v>
      </c>
      <c r="E38" s="25" t="e">
        <f>VLOOKUP($F$8,'sheet 1'!#REF!,106,FALSE)</f>
        <v>#REF!</v>
      </c>
      <c r="F38" s="24" t="e">
        <f t="shared" si="1"/>
        <v>#REF!</v>
      </c>
      <c r="G38" s="26" t="e">
        <f t="shared" si="2"/>
        <v>#REF!</v>
      </c>
      <c r="H38" s="27" t="e">
        <f t="shared" si="3"/>
        <v>#REF!</v>
      </c>
      <c r="N38" t="s">
        <v>66</v>
      </c>
    </row>
    <row r="39" spans="2:14" x14ac:dyDescent="0.25">
      <c r="B39" s="288" t="str">
        <f t="shared" si="0"/>
        <v>Cost Accounting for selected Industries</v>
      </c>
      <c r="C39" s="289"/>
      <c r="D39" s="24">
        <v>3</v>
      </c>
      <c r="E39" s="25" t="e">
        <f>VLOOKUP($F$8,'sheet 1'!#REF!,110,FALSE)</f>
        <v>#REF!</v>
      </c>
      <c r="F39" s="24" t="e">
        <f t="shared" si="1"/>
        <v>#REF!</v>
      </c>
      <c r="G39" s="26" t="e">
        <f t="shared" si="2"/>
        <v>#REF!</v>
      </c>
      <c r="H39" s="27" t="e">
        <f t="shared" si="3"/>
        <v>#REF!</v>
      </c>
      <c r="J39" s="298" t="e">
        <f>IF($J$41=$C$45,"OK","Error")</f>
        <v>#REF!</v>
      </c>
      <c r="K39" s="298"/>
      <c r="L39" s="298"/>
      <c r="N39" t="s">
        <v>41</v>
      </c>
    </row>
    <row r="40" spans="2:14" ht="15.75" thickBot="1" x14ac:dyDescent="0.3">
      <c r="B40" s="288" t="str">
        <f t="shared" si="0"/>
        <v>Financial Markets and Institutions</v>
      </c>
      <c r="C40" s="289"/>
      <c r="D40" s="24">
        <v>3</v>
      </c>
      <c r="E40" s="25" t="e">
        <f>VLOOKUP($F$8,'sheet 1'!#REF!,114,FALSE)</f>
        <v>#REF!</v>
      </c>
      <c r="F40" s="24" t="e">
        <f t="shared" si="1"/>
        <v>#REF!</v>
      </c>
      <c r="G40" s="26" t="e">
        <f t="shared" si="2"/>
        <v>#REF!</v>
      </c>
      <c r="H40" s="27" t="e">
        <f t="shared" si="3"/>
        <v>#REF!</v>
      </c>
      <c r="I40" s="51" t="e">
        <f>$C$45</f>
        <v>#REF!</v>
      </c>
      <c r="J40" s="299"/>
      <c r="K40" s="299"/>
      <c r="L40" s="299"/>
      <c r="N40" t="s">
        <v>42</v>
      </c>
    </row>
    <row r="41" spans="2:14" ht="15.75" thickBot="1" x14ac:dyDescent="0.3">
      <c r="B41" s="290" t="str">
        <f t="shared" si="0"/>
        <v>Comprehensive and Viva Voce</v>
      </c>
      <c r="C41" s="291"/>
      <c r="D41" s="24">
        <v>6</v>
      </c>
      <c r="E41" s="25" t="e">
        <f>VLOOKUP($F$8,'sheet 1'!#REF!,118,FALSE)</f>
        <v>#REF!</v>
      </c>
      <c r="F41" s="24" t="e">
        <f t="shared" si="1"/>
        <v>#REF!</v>
      </c>
      <c r="G41" s="26" t="e">
        <f t="shared" si="2"/>
        <v>#REF!</v>
      </c>
      <c r="H41" s="27" t="e">
        <f t="shared" si="3"/>
        <v>#REF!</v>
      </c>
      <c r="I41" s="52" t="e">
        <f>IF($J$41=$I$40,"OK","Error")</f>
        <v>#REF!</v>
      </c>
      <c r="J41" s="300" t="e">
        <f>SUM($H$11:$H$16,$H$20:$H$24,$H$28:$H$32,$H$36:$H$41)/SUM($D$11:$D$16,$D$20:$D$24,$D$28:$D$32,$D$36:$D$41)</f>
        <v>#REF!</v>
      </c>
      <c r="K41" s="301"/>
      <c r="L41" s="302"/>
      <c r="N41" t="s">
        <v>57</v>
      </c>
    </row>
    <row r="42" spans="2:14" x14ac:dyDescent="0.25">
      <c r="B42" s="28" t="s">
        <v>52</v>
      </c>
      <c r="C42" s="29">
        <f>SUM(D36:D41)</f>
        <v>21</v>
      </c>
      <c r="D42" s="30" t="s">
        <v>13</v>
      </c>
      <c r="E42" s="31" t="e">
        <f>SUM(H36:H41)/SUM(D36:D41)</f>
        <v>#REF!</v>
      </c>
      <c r="F42" s="53" t="s">
        <v>53</v>
      </c>
      <c r="G42" s="30" t="e">
        <f>IF(E42&gt;=4,"A",IF(E42&gt;=4,"A",IF(E42&gt;=3.5,"B+",IF(E42&gt;=3,"B",IF(E42&gt;=2.5,"C",IF(E42&gt;=2,"C",IF(E42&gt;=1.5,"D+",IF(E42&gt;=1,"D","F"))))))))</f>
        <v>#REF!</v>
      </c>
      <c r="H42" s="32"/>
      <c r="J42" s="303"/>
      <c r="K42" s="304"/>
      <c r="L42" s="305"/>
    </row>
    <row r="43" spans="2:14" ht="15.75" thickBot="1" x14ac:dyDescent="0.3">
      <c r="B43" s="33" t="s">
        <v>54</v>
      </c>
      <c r="C43" s="34">
        <f>SUM(D36:D41,D28:D32,D20:D24,D11:D16)</f>
        <v>66</v>
      </c>
      <c r="D43" s="35" t="s">
        <v>55</v>
      </c>
      <c r="E43" s="36" t="e">
        <f>SUM(G36:G41,G28:G32,G20:G24,G11:G16)</f>
        <v>#REF!</v>
      </c>
      <c r="F43" s="37" t="s">
        <v>56</v>
      </c>
      <c r="G43" s="38" t="e">
        <f>IF(E42&gt;=4,"Excellent",IF(E42&gt;=3.5,"Very Good",IF(E42&gt;=3,"Good",IF(E42&gt;=2.5,"Fair",IF(E42&gt;=2,"Fair",IF(E42&gt;=1.5,"Pass(Probation)",IF(E42&gt;=1,"Pass(Probation)","Fail")))))))</f>
        <v>#REF!</v>
      </c>
      <c r="H43" s="39"/>
      <c r="J43" s="303"/>
      <c r="K43" s="304"/>
      <c r="L43" s="305"/>
    </row>
    <row r="44" spans="2:14" ht="4.5" customHeight="1" thickBot="1" x14ac:dyDescent="0.3">
      <c r="B44" s="54"/>
      <c r="C44" s="55"/>
      <c r="D44" s="56"/>
      <c r="E44" s="57"/>
      <c r="F44" s="58"/>
      <c r="G44" s="59"/>
      <c r="H44" s="60"/>
      <c r="J44" s="303"/>
      <c r="K44" s="304"/>
      <c r="L44" s="305"/>
    </row>
    <row r="45" spans="2:14" x14ac:dyDescent="0.25">
      <c r="B45" s="61" t="s">
        <v>6</v>
      </c>
      <c r="C45" s="62" t="e">
        <f>VLOOKUP($F$8,'sheet 1'!#REF!,132,FALSE)</f>
        <v>#REF!</v>
      </c>
      <c r="D45" s="56"/>
      <c r="E45" s="57"/>
      <c r="F45" s="58"/>
      <c r="G45" s="59"/>
      <c r="H45" s="60"/>
      <c r="J45" s="303"/>
      <c r="K45" s="304"/>
      <c r="L45" s="305"/>
    </row>
    <row r="46" spans="2:14" ht="15.75" thickBot="1" x14ac:dyDescent="0.3">
      <c r="B46" s="63" t="s">
        <v>58</v>
      </c>
      <c r="C46" s="64" t="e">
        <f>LOOKUP(C45,'[1]Grading Criteria'!$F$5:$F$22,'[1]Grading Criteria'!$B$5:$B$22)</f>
        <v>#REF!</v>
      </c>
      <c r="D46" s="65"/>
      <c r="E46" s="65"/>
      <c r="F46" s="65"/>
      <c r="G46" s="65"/>
      <c r="H46" s="60"/>
      <c r="J46" s="306"/>
      <c r="K46" s="307"/>
      <c r="L46" s="308"/>
    </row>
    <row r="47" spans="2:14" x14ac:dyDescent="0.25">
      <c r="B47" s="66" t="s">
        <v>59</v>
      </c>
      <c r="C47" s="67" t="e">
        <f>LOOKUP(C45,'[1]Grading Criteria'!$F$5:$F$22,'[1]Grading Criteria'!$H$5:$H$22)</f>
        <v>#REF!</v>
      </c>
      <c r="D47" s="68"/>
      <c r="E47" s="68"/>
      <c r="F47" s="68"/>
      <c r="G47" s="68"/>
      <c r="H47" s="1"/>
    </row>
    <row r="48" spans="2:14" ht="15.75" thickBot="1" x14ac:dyDescent="0.3">
      <c r="B48" s="69" t="s">
        <v>60</v>
      </c>
      <c r="C48" s="70"/>
      <c r="D48" s="71"/>
      <c r="E48" s="72"/>
      <c r="F48" s="73" t="s">
        <v>61</v>
      </c>
      <c r="G48" s="72"/>
      <c r="H48" s="54"/>
    </row>
    <row r="49" spans="2:8" ht="12.75" customHeight="1" x14ac:dyDescent="0.25">
      <c r="B49" s="74" t="s">
        <v>62</v>
      </c>
      <c r="C49" s="72"/>
      <c r="D49" s="59"/>
      <c r="E49" s="72"/>
      <c r="F49" s="73" t="s">
        <v>4</v>
      </c>
      <c r="H49" s="54"/>
    </row>
    <row r="50" spans="2:8" x14ac:dyDescent="0.25">
      <c r="D50" s="72"/>
      <c r="G50" s="75"/>
    </row>
    <row r="51" spans="2:8" x14ac:dyDescent="0.25">
      <c r="G51" s="75"/>
    </row>
  </sheetData>
  <mergeCells count="30">
    <mergeCell ref="J2:L3"/>
    <mergeCell ref="J4:L9"/>
    <mergeCell ref="B10:C10"/>
    <mergeCell ref="B19:C19"/>
    <mergeCell ref="B27:C27"/>
    <mergeCell ref="B14:C14"/>
    <mergeCell ref="B2:H2"/>
    <mergeCell ref="C4:G4"/>
    <mergeCell ref="B11:C11"/>
    <mergeCell ref="B12:C12"/>
    <mergeCell ref="B13:C13"/>
    <mergeCell ref="B38:C38"/>
    <mergeCell ref="B39:C39"/>
    <mergeCell ref="J39:L40"/>
    <mergeCell ref="B40:C40"/>
    <mergeCell ref="B41:C41"/>
    <mergeCell ref="J41:L46"/>
    <mergeCell ref="B37:C37"/>
    <mergeCell ref="B15:C15"/>
    <mergeCell ref="B16:C16"/>
    <mergeCell ref="B20:C20"/>
    <mergeCell ref="B21:C21"/>
    <mergeCell ref="B22:C22"/>
    <mergeCell ref="B28:C28"/>
    <mergeCell ref="B29:C29"/>
    <mergeCell ref="B30:C30"/>
    <mergeCell ref="B31:C31"/>
    <mergeCell ref="B32:C32"/>
    <mergeCell ref="B36:C36"/>
    <mergeCell ref="B35:C35"/>
  </mergeCells>
  <printOptions horizontalCentered="1"/>
  <pageMargins left="0.19685039370078741" right="0.19685039370078741" top="0.59055118110236227" bottom="0" header="0.31496062992125984" footer="0.31496062992125984"/>
  <pageSetup paperSize="9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topLeftCell="A28" zoomScale="85" zoomScaleNormal="85" zoomScaleSheetLayoutView="85" workbookViewId="0">
      <selection activeCell="D40" sqref="D40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4" width="14.5703125" style="173" customWidth="1"/>
    <col min="5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134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5" si="3">IF(E21&gt;=90,"A+",IF(E21&gt;=80,"A",IF(E21&gt;=75,"B+",IF(E21&gt;=70,"B",IF(E21&gt;=65,"C+",IF(E21&gt;=60,"C",IF(E21&gt;=55,"D+",IF(E21&gt;=50,"D","F"))))))))</f>
        <v>#REF!</v>
      </c>
      <c r="G21" s="256" t="e">
        <f t="shared" ref="G21:G25" si="4">IF(AND(E21&gt;=50,E21&lt;60),1+(E21/10)-5,IF(AND(E21&gt;=60,E21&lt;70),2+(E21/10)-6,IF(AND(E21&gt;=70,E21&lt;80),3+(E21/10)-7,IF(E21&gt;=80,4,IF(E21&lt;50,0)))))</f>
        <v>#REF!</v>
      </c>
      <c r="H21" s="262" t="e">
        <f t="shared" ref="H21:H25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ref="F26" si="6">IF(E26&gt;=90,"A+",IF(E26&gt;=80,"A",IF(E26&gt;=75,"B+",IF(E26&gt;=70,"B",IF(E26&gt;=65,"C+",IF(E26&gt;=60,"C",IF(E26&gt;=55,"D+",IF(E26&gt;=50,"D","F"))))))))</f>
        <v>#REF!</v>
      </c>
      <c r="G26" s="260" t="e">
        <f t="shared" ref="G26" si="7">IF(AND(E26&gt;=50,E26&lt;60),1+(E26/10)-5,IF(AND(E26&gt;=60,E26&lt;70),2+(E26/10)-6,IF(AND(E26&gt;=70,E26&lt;80),3+(E26/10)-7,IF(E26&gt;=80,4,IF(E26&lt;50,0)))))</f>
        <v>#REF!</v>
      </c>
      <c r="H26" s="263" t="e">
        <f t="shared" ref="H26" si="8">G26*D26</f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9">IF(E30&gt;=90,"A+",IF(E30&gt;=80,"A",IF(E30&gt;=75,"B+",IF(E30&gt;=70,"B",IF(E30&gt;=65,"C+",IF(E30&gt;=60,"C",IF(E30&gt;=55,"D+",IF(E30&gt;=50,"D","F"))))))))</f>
        <v>#REF!</v>
      </c>
      <c r="G30" s="256" t="e">
        <f t="shared" ref="G30:G34" si="10">IF(AND(E30&gt;=50,E30&lt;60),1+(E30/10)-5,IF(AND(E30&gt;=60,E30&lt;70),2+(E30/10)-6,IF(AND(E30&gt;=70,E30&lt;80),3+(E30/10)-7,IF(E30&gt;=80,4,IF(E30&lt;50,0)))))</f>
        <v>#REF!</v>
      </c>
      <c r="H30" s="257" t="e">
        <f t="shared" ref="H30:H34" si="11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9"/>
        <v>#REF!</v>
      </c>
      <c r="G31" s="260" t="e">
        <f t="shared" si="10"/>
        <v>#REF!</v>
      </c>
      <c r="H31" s="263" t="e">
        <f t="shared" si="11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9"/>
        <v>#REF!</v>
      </c>
      <c r="G33" s="267" t="e">
        <f t="shared" si="10"/>
        <v>#REF!</v>
      </c>
      <c r="H33" s="263" t="e">
        <f t="shared" si="11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9"/>
        <v>#REF!</v>
      </c>
      <c r="G34" s="267" t="e">
        <f t="shared" si="10"/>
        <v>#REF!</v>
      </c>
      <c r="H34" s="263" t="e">
        <f t="shared" si="11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7" t="e">
        <f>VLOOKUP(F8,#REF!,11,FALSE)</f>
        <v>#REF!</v>
      </c>
      <c r="E39" s="219"/>
      <c r="F39" s="220"/>
      <c r="G39" s="221"/>
      <c r="H39" s="222"/>
      <c r="J39" s="208"/>
    </row>
    <row r="40" spans="2:13" ht="19.5" x14ac:dyDescent="0.25">
      <c r="B40" s="315" t="s">
        <v>287</v>
      </c>
      <c r="C40" s="316"/>
      <c r="D40" s="237" t="e">
        <f>VLOOKUP(F8,#REF!,12,FALSE)</f>
        <v>#REF!</v>
      </c>
      <c r="E40" s="223"/>
      <c r="F40" s="223"/>
      <c r="G40" s="223"/>
      <c r="H40" s="222"/>
      <c r="J40" s="208"/>
    </row>
    <row r="41" spans="2:13" ht="19.5" x14ac:dyDescent="0.25">
      <c r="B41" s="321" t="s">
        <v>259</v>
      </c>
      <c r="C41" s="322"/>
      <c r="D41" s="237" t="e">
        <f>VLOOKUP(F8,#REF!,13,FALSE)</f>
        <v>#REF!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7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B12:C12"/>
    <mergeCell ref="B2:H2"/>
    <mergeCell ref="J2:L3"/>
    <mergeCell ref="C4:G4"/>
    <mergeCell ref="J4:L10"/>
    <mergeCell ref="B11:C11"/>
    <mergeCell ref="B10:C10"/>
    <mergeCell ref="B13:C13"/>
    <mergeCell ref="B14:C14"/>
    <mergeCell ref="B15:C15"/>
    <mergeCell ref="B16:C16"/>
    <mergeCell ref="B17:C17"/>
    <mergeCell ref="B43:C43"/>
    <mergeCell ref="J47:L52"/>
    <mergeCell ref="B34:C34"/>
    <mergeCell ref="B35:C35"/>
    <mergeCell ref="B39:C39"/>
    <mergeCell ref="B45:D45"/>
    <mergeCell ref="B41:C41"/>
    <mergeCell ref="J45:L46"/>
    <mergeCell ref="B42:C42"/>
    <mergeCell ref="B44:C44"/>
    <mergeCell ref="L16:M16"/>
    <mergeCell ref="L25:M25"/>
    <mergeCell ref="L34:M34"/>
    <mergeCell ref="B32:C32"/>
    <mergeCell ref="B40:C40"/>
    <mergeCell ref="B31:C31"/>
    <mergeCell ref="B20:C20"/>
    <mergeCell ref="B29:C29"/>
    <mergeCell ref="B30:C30"/>
  </mergeCells>
  <conditionalFormatting sqref="E12:E17">
    <cfRule type="cellIs" dxfId="203" priority="4" operator="lessThan">
      <formula>50</formula>
    </cfRule>
  </conditionalFormatting>
  <conditionalFormatting sqref="E21:E26">
    <cfRule type="cellIs" dxfId="202" priority="3" operator="lessThan">
      <formula>50</formula>
    </cfRule>
  </conditionalFormatting>
  <conditionalFormatting sqref="E30:E34">
    <cfRule type="cellIs" dxfId="201" priority="2" operator="lessThan">
      <formula>50</formula>
    </cfRule>
  </conditionalFormatting>
  <conditionalFormatting sqref="F12:F17">
    <cfRule type="containsText" dxfId="200" priority="8" operator="containsText" text="F">
      <formula>NOT(ISERROR(SEARCH("F",F12)))</formula>
    </cfRule>
  </conditionalFormatting>
  <conditionalFormatting sqref="F21:F26">
    <cfRule type="containsText" dxfId="199" priority="7" operator="containsText" text="F">
      <formula>NOT(ISERROR(SEARCH("F",F21)))</formula>
    </cfRule>
  </conditionalFormatting>
  <conditionalFormatting sqref="F30:F34">
    <cfRule type="containsText" dxfId="198" priority="6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topLeftCell="A25" zoomScale="85" zoomScaleNormal="85" zoomScaleSheetLayoutView="85" workbookViewId="0">
      <selection activeCell="D41" sqref="D41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137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197" priority="3" operator="lessThan">
      <formula>50</formula>
    </cfRule>
  </conditionalFormatting>
  <conditionalFormatting sqref="E21:E26">
    <cfRule type="cellIs" dxfId="196" priority="2" operator="lessThan">
      <formula>50</formula>
    </cfRule>
  </conditionalFormatting>
  <conditionalFormatting sqref="E30:E34">
    <cfRule type="cellIs" dxfId="195" priority="1" operator="lessThan">
      <formula>50</formula>
    </cfRule>
  </conditionalFormatting>
  <conditionalFormatting sqref="F12:F17">
    <cfRule type="containsText" dxfId="194" priority="6" operator="containsText" text="F">
      <formula>NOT(ISERROR(SEARCH("F",F12)))</formula>
    </cfRule>
  </conditionalFormatting>
  <conditionalFormatting sqref="F21:F26">
    <cfRule type="containsText" dxfId="193" priority="5" operator="containsText" text="F">
      <formula>NOT(ISERROR(SEARCH("F",F21)))</formula>
    </cfRule>
  </conditionalFormatting>
  <conditionalFormatting sqref="F30:F34">
    <cfRule type="containsText" dxfId="192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85" zoomScaleNormal="85" zoomScaleSheetLayoutView="85" workbookViewId="0">
      <selection activeCell="F8" sqref="F8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118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191" priority="3" operator="lessThan">
      <formula>50</formula>
    </cfRule>
  </conditionalFormatting>
  <conditionalFormatting sqref="E21:E26">
    <cfRule type="cellIs" dxfId="190" priority="2" operator="lessThan">
      <formula>50</formula>
    </cfRule>
  </conditionalFormatting>
  <conditionalFormatting sqref="E30:E34">
    <cfRule type="cellIs" dxfId="189" priority="1" operator="lessThan">
      <formula>50</formula>
    </cfRule>
  </conditionalFormatting>
  <conditionalFormatting sqref="F12:F17">
    <cfRule type="containsText" dxfId="188" priority="6" operator="containsText" text="F">
      <formula>NOT(ISERROR(SEARCH("F",F12)))</formula>
    </cfRule>
  </conditionalFormatting>
  <conditionalFormatting sqref="F21:F26">
    <cfRule type="containsText" dxfId="187" priority="5" operator="containsText" text="F">
      <formula>NOT(ISERROR(SEARCH("F",F21)))</formula>
    </cfRule>
  </conditionalFormatting>
  <conditionalFormatting sqref="F30:F34">
    <cfRule type="containsText" dxfId="186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85" zoomScaleNormal="85" zoomScaleSheetLayoutView="85" workbookViewId="0">
      <selection activeCell="F8" sqref="F8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113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185" priority="3" operator="lessThan">
      <formula>50</formula>
    </cfRule>
  </conditionalFormatting>
  <conditionalFormatting sqref="E21:E26">
    <cfRule type="cellIs" dxfId="184" priority="2" operator="lessThan">
      <formula>50</formula>
    </cfRule>
  </conditionalFormatting>
  <conditionalFormatting sqref="E30:E34">
    <cfRule type="cellIs" dxfId="183" priority="1" operator="lessThan">
      <formula>50</formula>
    </cfRule>
  </conditionalFormatting>
  <conditionalFormatting sqref="F12:F17">
    <cfRule type="containsText" dxfId="182" priority="6" operator="containsText" text="F">
      <formula>NOT(ISERROR(SEARCH("F",F12)))</formula>
    </cfRule>
  </conditionalFormatting>
  <conditionalFormatting sqref="F21:F26">
    <cfRule type="containsText" dxfId="181" priority="5" operator="containsText" text="F">
      <formula>NOT(ISERROR(SEARCH("F",F21)))</formula>
    </cfRule>
  </conditionalFormatting>
  <conditionalFormatting sqref="F30:F34">
    <cfRule type="containsText" dxfId="180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topLeftCell="A25" zoomScale="85" zoomScaleNormal="85" zoomScaleSheetLayoutView="85" workbookViewId="0">
      <selection activeCell="F8" sqref="F8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130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179" priority="3" operator="lessThan">
      <formula>50</formula>
    </cfRule>
  </conditionalFormatting>
  <conditionalFormatting sqref="E21:E26">
    <cfRule type="cellIs" dxfId="178" priority="2" operator="lessThan">
      <formula>50</formula>
    </cfRule>
  </conditionalFormatting>
  <conditionalFormatting sqref="E30:E34">
    <cfRule type="cellIs" dxfId="177" priority="1" operator="lessThan">
      <formula>50</formula>
    </cfRule>
  </conditionalFormatting>
  <conditionalFormatting sqref="F12:F17">
    <cfRule type="containsText" dxfId="176" priority="6" operator="containsText" text="F">
      <formula>NOT(ISERROR(SEARCH("F",F12)))</formula>
    </cfRule>
  </conditionalFormatting>
  <conditionalFormatting sqref="F21:F26">
    <cfRule type="containsText" dxfId="175" priority="5" operator="containsText" text="F">
      <formula>NOT(ISERROR(SEARCH("F",F21)))</formula>
    </cfRule>
  </conditionalFormatting>
  <conditionalFormatting sqref="F30:F34">
    <cfRule type="containsText" dxfId="174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85" zoomScaleNormal="85" zoomScaleSheetLayoutView="85" workbookViewId="0">
      <selection activeCell="F8" sqref="F8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141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173" priority="3" operator="lessThan">
      <formula>50</formula>
    </cfRule>
  </conditionalFormatting>
  <conditionalFormatting sqref="E21:E26">
    <cfRule type="cellIs" dxfId="172" priority="2" operator="lessThan">
      <formula>50</formula>
    </cfRule>
  </conditionalFormatting>
  <conditionalFormatting sqref="E30:E34">
    <cfRule type="cellIs" dxfId="171" priority="1" operator="lessThan">
      <formula>50</formula>
    </cfRule>
  </conditionalFormatting>
  <conditionalFormatting sqref="F12:F17">
    <cfRule type="containsText" dxfId="170" priority="6" operator="containsText" text="F">
      <formula>NOT(ISERROR(SEARCH("F",F12)))</formula>
    </cfRule>
  </conditionalFormatting>
  <conditionalFormatting sqref="F21:F26">
    <cfRule type="containsText" dxfId="169" priority="5" operator="containsText" text="F">
      <formula>NOT(ISERROR(SEARCH("F",F21)))</formula>
    </cfRule>
  </conditionalFormatting>
  <conditionalFormatting sqref="F30:F34">
    <cfRule type="containsText" dxfId="168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topLeftCell="A25" zoomScale="85" zoomScaleNormal="85" zoomScaleSheetLayoutView="85" workbookViewId="0">
      <selection activeCell="F8" sqref="F8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124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167" priority="3" operator="lessThan">
      <formula>50</formula>
    </cfRule>
  </conditionalFormatting>
  <conditionalFormatting sqref="E21:E26">
    <cfRule type="cellIs" dxfId="166" priority="2" operator="lessThan">
      <formula>50</formula>
    </cfRule>
  </conditionalFormatting>
  <conditionalFormatting sqref="E30:E34">
    <cfRule type="cellIs" dxfId="165" priority="1" operator="lessThan">
      <formula>50</formula>
    </cfRule>
  </conditionalFormatting>
  <conditionalFormatting sqref="F12:F17">
    <cfRule type="containsText" dxfId="164" priority="6" operator="containsText" text="F">
      <formula>NOT(ISERROR(SEARCH("F",F12)))</formula>
    </cfRule>
  </conditionalFormatting>
  <conditionalFormatting sqref="F21:F26">
    <cfRule type="containsText" dxfId="163" priority="5" operator="containsText" text="F">
      <formula>NOT(ISERROR(SEARCH("F",F21)))</formula>
    </cfRule>
  </conditionalFormatting>
  <conditionalFormatting sqref="F30:F34">
    <cfRule type="containsText" dxfId="162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topLeftCell="A28" zoomScale="85" zoomScaleNormal="85" zoomScaleSheetLayoutView="85" workbookViewId="0">
      <selection activeCell="F8" sqref="F8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138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161" priority="3" operator="lessThan">
      <formula>50</formula>
    </cfRule>
  </conditionalFormatting>
  <conditionalFormatting sqref="E21:E26">
    <cfRule type="cellIs" dxfId="160" priority="2" operator="lessThan">
      <formula>50</formula>
    </cfRule>
  </conditionalFormatting>
  <conditionalFormatting sqref="E30:E34">
    <cfRule type="cellIs" dxfId="159" priority="1" operator="lessThan">
      <formula>50</formula>
    </cfRule>
  </conditionalFormatting>
  <conditionalFormatting sqref="F12:F17">
    <cfRule type="containsText" dxfId="158" priority="6" operator="containsText" text="F">
      <formula>NOT(ISERROR(SEARCH("F",F12)))</formula>
    </cfRule>
  </conditionalFormatting>
  <conditionalFormatting sqref="F21:F26">
    <cfRule type="containsText" dxfId="157" priority="5" operator="containsText" text="F">
      <formula>NOT(ISERROR(SEARCH("F",F21)))</formula>
    </cfRule>
  </conditionalFormatting>
  <conditionalFormatting sqref="F30:F34">
    <cfRule type="containsText" dxfId="156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topLeftCell="A25" zoomScale="85" zoomScaleNormal="85" zoomScaleSheetLayoutView="85" workbookViewId="0">
      <selection activeCell="F8" sqref="F8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137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155" priority="3" operator="lessThan">
      <formula>50</formula>
    </cfRule>
  </conditionalFormatting>
  <conditionalFormatting sqref="E21:E26">
    <cfRule type="cellIs" dxfId="154" priority="2" operator="lessThan">
      <formula>50</formula>
    </cfRule>
  </conditionalFormatting>
  <conditionalFormatting sqref="E30:E34">
    <cfRule type="cellIs" dxfId="153" priority="1" operator="lessThan">
      <formula>50</formula>
    </cfRule>
  </conditionalFormatting>
  <conditionalFormatting sqref="F12:F17">
    <cfRule type="containsText" dxfId="152" priority="6" operator="containsText" text="F">
      <formula>NOT(ISERROR(SEARCH("F",F12)))</formula>
    </cfRule>
  </conditionalFormatting>
  <conditionalFormatting sqref="F21:F26">
    <cfRule type="containsText" dxfId="151" priority="5" operator="containsText" text="F">
      <formula>NOT(ISERROR(SEARCH("F",F21)))</formula>
    </cfRule>
  </conditionalFormatting>
  <conditionalFormatting sqref="F30:F34">
    <cfRule type="containsText" dxfId="150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85" zoomScaleNormal="85" zoomScaleSheetLayoutView="85" workbookViewId="0">
      <selection activeCell="F8" sqref="F8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122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149" priority="3" operator="lessThan">
      <formula>50</formula>
    </cfRule>
  </conditionalFormatting>
  <conditionalFormatting sqref="E21:E26">
    <cfRule type="cellIs" dxfId="148" priority="2" operator="lessThan">
      <formula>50</formula>
    </cfRule>
  </conditionalFormatting>
  <conditionalFormatting sqref="E30:E34">
    <cfRule type="cellIs" dxfId="147" priority="1" operator="lessThan">
      <formula>50</formula>
    </cfRule>
  </conditionalFormatting>
  <conditionalFormatting sqref="F12:F17">
    <cfRule type="containsText" dxfId="146" priority="6" operator="containsText" text="F">
      <formula>NOT(ISERROR(SEARCH("F",F12)))</formula>
    </cfRule>
  </conditionalFormatting>
  <conditionalFormatting sqref="F21:F26">
    <cfRule type="containsText" dxfId="145" priority="5" operator="containsText" text="F">
      <formula>NOT(ISERROR(SEARCH("F",F21)))</formula>
    </cfRule>
  </conditionalFormatting>
  <conditionalFormatting sqref="F30:F34">
    <cfRule type="containsText" dxfId="144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topLeftCell="A25" zoomScale="85" zoomScaleNormal="85" zoomScaleSheetLayoutView="85" workbookViewId="0">
      <selection activeCell="F8" sqref="F8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117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143" priority="3" operator="lessThan">
      <formula>50</formula>
    </cfRule>
  </conditionalFormatting>
  <conditionalFormatting sqref="E21:E26">
    <cfRule type="cellIs" dxfId="142" priority="2" operator="lessThan">
      <formula>50</formula>
    </cfRule>
  </conditionalFormatting>
  <conditionalFormatting sqref="E30:E34">
    <cfRule type="cellIs" dxfId="141" priority="1" operator="lessThan">
      <formula>50</formula>
    </cfRule>
  </conditionalFormatting>
  <conditionalFormatting sqref="F12:F17">
    <cfRule type="containsText" dxfId="140" priority="6" operator="containsText" text="F">
      <formula>NOT(ISERROR(SEARCH("F",F12)))</formula>
    </cfRule>
  </conditionalFormatting>
  <conditionalFormatting sqref="F21:F26">
    <cfRule type="containsText" dxfId="139" priority="5" operator="containsText" text="F">
      <formula>NOT(ISERROR(SEARCH("F",F21)))</formula>
    </cfRule>
  </conditionalFormatting>
  <conditionalFormatting sqref="F30:F34">
    <cfRule type="containsText" dxfId="138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85" zoomScaleNormal="85" zoomScaleSheetLayoutView="85" workbookViewId="0">
      <selection activeCell="F8" sqref="F8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112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J47:L52"/>
    <mergeCell ref="B41:C41"/>
    <mergeCell ref="B42:C42"/>
    <mergeCell ref="B43:C43"/>
    <mergeCell ref="B44:C44"/>
    <mergeCell ref="B45:D45"/>
    <mergeCell ref="J45:L4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</mergeCells>
  <conditionalFormatting sqref="E12:E17">
    <cfRule type="cellIs" dxfId="137" priority="3" operator="lessThan">
      <formula>50</formula>
    </cfRule>
  </conditionalFormatting>
  <conditionalFormatting sqref="E21:E26">
    <cfRule type="cellIs" dxfId="136" priority="2" operator="lessThan">
      <formula>50</formula>
    </cfRule>
  </conditionalFormatting>
  <conditionalFormatting sqref="E30:E34">
    <cfRule type="cellIs" dxfId="135" priority="1" operator="lessThan">
      <formula>50</formula>
    </cfRule>
  </conditionalFormatting>
  <conditionalFormatting sqref="F12:F17">
    <cfRule type="containsText" dxfId="134" priority="6" operator="containsText" text="F">
      <formula>NOT(ISERROR(SEARCH("F",F12)))</formula>
    </cfRule>
  </conditionalFormatting>
  <conditionalFormatting sqref="F21:F26">
    <cfRule type="containsText" dxfId="133" priority="5" operator="containsText" text="F">
      <formula>NOT(ISERROR(SEARCH("F",F21)))</formula>
    </cfRule>
  </conditionalFormatting>
  <conditionalFormatting sqref="F30:F34">
    <cfRule type="containsText" dxfId="132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topLeftCell="A28" zoomScale="85" zoomScaleNormal="85" zoomScaleSheetLayoutView="85" workbookViewId="0">
      <selection activeCell="F8" sqref="F8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126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131" priority="3" operator="lessThan">
      <formula>50</formula>
    </cfRule>
  </conditionalFormatting>
  <conditionalFormatting sqref="E21:E26">
    <cfRule type="cellIs" dxfId="130" priority="2" operator="lessThan">
      <formula>50</formula>
    </cfRule>
  </conditionalFormatting>
  <conditionalFormatting sqref="E30:E34">
    <cfRule type="cellIs" dxfId="129" priority="1" operator="lessThan">
      <formula>50</formula>
    </cfRule>
  </conditionalFormatting>
  <conditionalFormatting sqref="F12:F17">
    <cfRule type="containsText" dxfId="128" priority="6" operator="containsText" text="F">
      <formula>NOT(ISERROR(SEARCH("F",F12)))</formula>
    </cfRule>
  </conditionalFormatting>
  <conditionalFormatting sqref="F21:F26">
    <cfRule type="containsText" dxfId="127" priority="5" operator="containsText" text="F">
      <formula>NOT(ISERROR(SEARCH("F",F21)))</formula>
    </cfRule>
  </conditionalFormatting>
  <conditionalFormatting sqref="F30:F34">
    <cfRule type="containsText" dxfId="126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topLeftCell="A28" zoomScale="85" zoomScaleNormal="85" zoomScaleSheetLayoutView="85" workbookViewId="0">
      <selection activeCell="F8" sqref="F8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123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125" priority="3" operator="lessThan">
      <formula>50</formula>
    </cfRule>
  </conditionalFormatting>
  <conditionalFormatting sqref="E21:E26">
    <cfRule type="cellIs" dxfId="124" priority="2" operator="lessThan">
      <formula>50</formula>
    </cfRule>
  </conditionalFormatting>
  <conditionalFormatting sqref="E30:E34">
    <cfRule type="cellIs" dxfId="123" priority="1" operator="lessThan">
      <formula>50</formula>
    </cfRule>
  </conditionalFormatting>
  <conditionalFormatting sqref="F12:F17">
    <cfRule type="containsText" dxfId="122" priority="6" operator="containsText" text="F">
      <formula>NOT(ISERROR(SEARCH("F",F12)))</formula>
    </cfRule>
  </conditionalFormatting>
  <conditionalFormatting sqref="F21:F26">
    <cfRule type="containsText" dxfId="121" priority="5" operator="containsText" text="F">
      <formula>NOT(ISERROR(SEARCH("F",F21)))</formula>
    </cfRule>
  </conditionalFormatting>
  <conditionalFormatting sqref="F30:F34">
    <cfRule type="containsText" dxfId="120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85" zoomScaleNormal="85" zoomScaleSheetLayoutView="85" workbookViewId="0">
      <selection activeCell="F8" sqref="F8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111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119" priority="3" operator="lessThan">
      <formula>50</formula>
    </cfRule>
  </conditionalFormatting>
  <conditionalFormatting sqref="E21:E26">
    <cfRule type="cellIs" dxfId="118" priority="2" operator="lessThan">
      <formula>50</formula>
    </cfRule>
  </conditionalFormatting>
  <conditionalFormatting sqref="E30:E34">
    <cfRule type="cellIs" dxfId="117" priority="1" operator="lessThan">
      <formula>50</formula>
    </cfRule>
  </conditionalFormatting>
  <conditionalFormatting sqref="F12:F17">
    <cfRule type="containsText" dxfId="116" priority="6" operator="containsText" text="F">
      <formula>NOT(ISERROR(SEARCH("F",F12)))</formula>
    </cfRule>
  </conditionalFormatting>
  <conditionalFormatting sqref="F21:F26">
    <cfRule type="containsText" dxfId="115" priority="5" operator="containsText" text="F">
      <formula>NOT(ISERROR(SEARCH("F",F21)))</formula>
    </cfRule>
  </conditionalFormatting>
  <conditionalFormatting sqref="F30:F34">
    <cfRule type="containsText" dxfId="114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topLeftCell="A29" zoomScale="85" zoomScaleNormal="85" zoomScaleSheetLayoutView="85" workbookViewId="0">
      <selection activeCell="F8" sqref="F8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125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113" priority="3" operator="lessThan">
      <formula>50</formula>
    </cfRule>
  </conditionalFormatting>
  <conditionalFormatting sqref="E21:E26">
    <cfRule type="cellIs" dxfId="112" priority="2" operator="lessThan">
      <formula>50</formula>
    </cfRule>
  </conditionalFormatting>
  <conditionalFormatting sqref="E30:E34">
    <cfRule type="cellIs" dxfId="111" priority="1" operator="lessThan">
      <formula>50</formula>
    </cfRule>
  </conditionalFormatting>
  <conditionalFormatting sqref="F12:F17">
    <cfRule type="containsText" dxfId="110" priority="6" operator="containsText" text="F">
      <formula>NOT(ISERROR(SEARCH("F",F12)))</formula>
    </cfRule>
  </conditionalFormatting>
  <conditionalFormatting sqref="F21:F26">
    <cfRule type="containsText" dxfId="109" priority="5" operator="containsText" text="F">
      <formula>NOT(ISERROR(SEARCH("F",F21)))</formula>
    </cfRule>
  </conditionalFormatting>
  <conditionalFormatting sqref="F30:F34">
    <cfRule type="containsText" dxfId="108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85" zoomScaleNormal="85" zoomScaleSheetLayoutView="85" workbookViewId="0">
      <selection activeCell="F8" sqref="F8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136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107" priority="3" operator="lessThan">
      <formula>50</formula>
    </cfRule>
  </conditionalFormatting>
  <conditionalFormatting sqref="E21:E26">
    <cfRule type="cellIs" dxfId="106" priority="2" operator="lessThan">
      <formula>50</formula>
    </cfRule>
  </conditionalFormatting>
  <conditionalFormatting sqref="E30:E34">
    <cfRule type="cellIs" dxfId="105" priority="1" operator="lessThan">
      <formula>50</formula>
    </cfRule>
  </conditionalFormatting>
  <conditionalFormatting sqref="F12:F17">
    <cfRule type="containsText" dxfId="104" priority="6" operator="containsText" text="F">
      <formula>NOT(ISERROR(SEARCH("F",F12)))</formula>
    </cfRule>
  </conditionalFormatting>
  <conditionalFormatting sqref="F21:F26">
    <cfRule type="containsText" dxfId="103" priority="5" operator="containsText" text="F">
      <formula>NOT(ISERROR(SEARCH("F",F21)))</formula>
    </cfRule>
  </conditionalFormatting>
  <conditionalFormatting sqref="F30:F34">
    <cfRule type="containsText" dxfId="102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85" zoomScaleNormal="85" zoomScaleSheetLayoutView="85" workbookViewId="0">
      <selection activeCell="F8" sqref="F8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115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101" priority="3" operator="lessThan">
      <formula>50</formula>
    </cfRule>
  </conditionalFormatting>
  <conditionalFormatting sqref="E21:E26">
    <cfRule type="cellIs" dxfId="100" priority="2" operator="lessThan">
      <formula>50</formula>
    </cfRule>
  </conditionalFormatting>
  <conditionalFormatting sqref="E30:E34">
    <cfRule type="cellIs" dxfId="99" priority="1" operator="lessThan">
      <formula>50</formula>
    </cfRule>
  </conditionalFormatting>
  <conditionalFormatting sqref="F12:F17">
    <cfRule type="containsText" dxfId="98" priority="6" operator="containsText" text="F">
      <formula>NOT(ISERROR(SEARCH("F",F12)))</formula>
    </cfRule>
  </conditionalFormatting>
  <conditionalFormatting sqref="F21:F26">
    <cfRule type="containsText" dxfId="97" priority="5" operator="containsText" text="F">
      <formula>NOT(ISERROR(SEARCH("F",F21)))</formula>
    </cfRule>
  </conditionalFormatting>
  <conditionalFormatting sqref="F30:F34">
    <cfRule type="containsText" dxfId="96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85" zoomScaleNormal="85" zoomScaleSheetLayoutView="85" workbookViewId="0">
      <selection activeCell="F8" sqref="F8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116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95" priority="3" operator="lessThan">
      <formula>50</formula>
    </cfRule>
  </conditionalFormatting>
  <conditionalFormatting sqref="E21:E26">
    <cfRule type="cellIs" dxfId="94" priority="2" operator="lessThan">
      <formula>50</formula>
    </cfRule>
  </conditionalFormatting>
  <conditionalFormatting sqref="E30:E34">
    <cfRule type="cellIs" dxfId="93" priority="1" operator="lessThan">
      <formula>50</formula>
    </cfRule>
  </conditionalFormatting>
  <conditionalFormatting sqref="F12:F17">
    <cfRule type="containsText" dxfId="92" priority="6" operator="containsText" text="F">
      <formula>NOT(ISERROR(SEARCH("F",F12)))</formula>
    </cfRule>
  </conditionalFormatting>
  <conditionalFormatting sqref="F21:F26">
    <cfRule type="containsText" dxfId="91" priority="5" operator="containsText" text="F">
      <formula>NOT(ISERROR(SEARCH("F",F21)))</formula>
    </cfRule>
  </conditionalFormatting>
  <conditionalFormatting sqref="F30:F34">
    <cfRule type="containsText" dxfId="90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85" zoomScaleNormal="85" zoomScaleSheetLayoutView="85" workbookViewId="0">
      <selection activeCell="G25" sqref="G25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131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89" priority="3" operator="lessThan">
      <formula>50</formula>
    </cfRule>
  </conditionalFormatting>
  <conditionalFormatting sqref="E21:E26">
    <cfRule type="cellIs" dxfId="88" priority="2" operator="lessThan">
      <formula>50</formula>
    </cfRule>
  </conditionalFormatting>
  <conditionalFormatting sqref="E30:E34">
    <cfRule type="cellIs" dxfId="87" priority="1" operator="lessThan">
      <formula>50</formula>
    </cfRule>
  </conditionalFormatting>
  <conditionalFormatting sqref="F12:F17">
    <cfRule type="containsText" dxfId="86" priority="6" operator="containsText" text="F">
      <formula>NOT(ISERROR(SEARCH("F",F12)))</formula>
    </cfRule>
  </conditionalFormatting>
  <conditionalFormatting sqref="F21:F26">
    <cfRule type="containsText" dxfId="85" priority="5" operator="containsText" text="F">
      <formula>NOT(ISERROR(SEARCH("F",F21)))</formula>
    </cfRule>
  </conditionalFormatting>
  <conditionalFormatting sqref="F30:F34">
    <cfRule type="containsText" dxfId="84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85" zoomScaleNormal="85" zoomScaleSheetLayoutView="85" workbookViewId="0">
      <selection activeCell="G25" sqref="G25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121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83" priority="3" operator="lessThan">
      <formula>50</formula>
    </cfRule>
  </conditionalFormatting>
  <conditionalFormatting sqref="E21:E26">
    <cfRule type="cellIs" dxfId="82" priority="2" operator="lessThan">
      <formula>50</formula>
    </cfRule>
  </conditionalFormatting>
  <conditionalFormatting sqref="E30:E34">
    <cfRule type="cellIs" dxfId="81" priority="1" operator="lessThan">
      <formula>50</formula>
    </cfRule>
  </conditionalFormatting>
  <conditionalFormatting sqref="F12:F17">
    <cfRule type="containsText" dxfId="80" priority="6" operator="containsText" text="F">
      <formula>NOT(ISERROR(SEARCH("F",F12)))</formula>
    </cfRule>
  </conditionalFormatting>
  <conditionalFormatting sqref="F21:F26">
    <cfRule type="containsText" dxfId="79" priority="5" operator="containsText" text="F">
      <formula>NOT(ISERROR(SEARCH("F",F21)))</formula>
    </cfRule>
  </conditionalFormatting>
  <conditionalFormatting sqref="F30:F34">
    <cfRule type="containsText" dxfId="78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85" zoomScaleNormal="85" zoomScaleSheetLayoutView="85" workbookViewId="0">
      <selection activeCell="G25" sqref="G25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135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77" priority="3" operator="lessThan">
      <formula>50</formula>
    </cfRule>
  </conditionalFormatting>
  <conditionalFormatting sqref="E21:E26">
    <cfRule type="cellIs" dxfId="76" priority="2" operator="lessThan">
      <formula>50</formula>
    </cfRule>
  </conditionalFormatting>
  <conditionalFormatting sqref="E30:E34">
    <cfRule type="cellIs" dxfId="75" priority="1" operator="lessThan">
      <formula>50</formula>
    </cfRule>
  </conditionalFormatting>
  <conditionalFormatting sqref="F12:F17">
    <cfRule type="containsText" dxfId="74" priority="6" operator="containsText" text="F">
      <formula>NOT(ISERROR(SEARCH("F",F12)))</formula>
    </cfRule>
  </conditionalFormatting>
  <conditionalFormatting sqref="F21:F26">
    <cfRule type="containsText" dxfId="73" priority="5" operator="containsText" text="F">
      <formula>NOT(ISERROR(SEARCH("F",F21)))</formula>
    </cfRule>
  </conditionalFormatting>
  <conditionalFormatting sqref="F30:F34">
    <cfRule type="containsText" dxfId="72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85" zoomScaleNormal="85" zoomScaleSheetLayoutView="85" workbookViewId="0">
      <selection activeCell="G25" sqref="G25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114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71" priority="3" operator="lessThan">
      <formula>50</formula>
    </cfRule>
  </conditionalFormatting>
  <conditionalFormatting sqref="E21:E26">
    <cfRule type="cellIs" dxfId="70" priority="2" operator="lessThan">
      <formula>50</formula>
    </cfRule>
  </conditionalFormatting>
  <conditionalFormatting sqref="E30:E34">
    <cfRule type="cellIs" dxfId="69" priority="1" operator="lessThan">
      <formula>50</formula>
    </cfRule>
  </conditionalFormatting>
  <conditionalFormatting sqref="F12:F17">
    <cfRule type="containsText" dxfId="68" priority="6" operator="containsText" text="F">
      <formula>NOT(ISERROR(SEARCH("F",F12)))</formula>
    </cfRule>
  </conditionalFormatting>
  <conditionalFormatting sqref="F21:F26">
    <cfRule type="containsText" dxfId="67" priority="5" operator="containsText" text="F">
      <formula>NOT(ISERROR(SEARCH("F",F21)))</formula>
    </cfRule>
  </conditionalFormatting>
  <conditionalFormatting sqref="F30:F34">
    <cfRule type="containsText" dxfId="66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85" zoomScaleNormal="85" zoomScaleSheetLayoutView="85" workbookViewId="0">
      <selection activeCell="G25" sqref="G25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129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65" priority="3" operator="lessThan">
      <formula>50</formula>
    </cfRule>
  </conditionalFormatting>
  <conditionalFormatting sqref="E21:E26">
    <cfRule type="cellIs" dxfId="64" priority="2" operator="lessThan">
      <formula>50</formula>
    </cfRule>
  </conditionalFormatting>
  <conditionalFormatting sqref="E30:E34">
    <cfRule type="cellIs" dxfId="63" priority="1" operator="lessThan">
      <formula>50</formula>
    </cfRule>
  </conditionalFormatting>
  <conditionalFormatting sqref="F12:F17">
    <cfRule type="containsText" dxfId="62" priority="6" operator="containsText" text="F">
      <formula>NOT(ISERROR(SEARCH("F",F12)))</formula>
    </cfRule>
  </conditionalFormatting>
  <conditionalFormatting sqref="F21:F26">
    <cfRule type="containsText" dxfId="61" priority="5" operator="containsText" text="F">
      <formula>NOT(ISERROR(SEARCH("F",F21)))</formula>
    </cfRule>
  </conditionalFormatting>
  <conditionalFormatting sqref="F30:F34">
    <cfRule type="containsText" dxfId="60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85" zoomScaleNormal="85" zoomScaleSheetLayoutView="85" workbookViewId="0">
      <selection activeCell="G25" sqref="G25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132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59" priority="3" operator="lessThan">
      <formula>50</formula>
    </cfRule>
  </conditionalFormatting>
  <conditionalFormatting sqref="E21:E26">
    <cfRule type="cellIs" dxfId="58" priority="2" operator="lessThan">
      <formula>50</formula>
    </cfRule>
  </conditionalFormatting>
  <conditionalFormatting sqref="E30:E34">
    <cfRule type="cellIs" dxfId="57" priority="1" operator="lessThan">
      <formula>50</formula>
    </cfRule>
  </conditionalFormatting>
  <conditionalFormatting sqref="F12:F17">
    <cfRule type="containsText" dxfId="56" priority="6" operator="containsText" text="F">
      <formula>NOT(ISERROR(SEARCH("F",F12)))</formula>
    </cfRule>
  </conditionalFormatting>
  <conditionalFormatting sqref="F21:F26">
    <cfRule type="containsText" dxfId="55" priority="5" operator="containsText" text="F">
      <formula>NOT(ISERROR(SEARCH("F",F21)))</formula>
    </cfRule>
  </conditionalFormatting>
  <conditionalFormatting sqref="F30:F34">
    <cfRule type="containsText" dxfId="54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85" zoomScaleNormal="85" zoomScaleSheetLayoutView="85" workbookViewId="0">
      <selection activeCell="G25" sqref="G25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127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53" priority="3" operator="lessThan">
      <formula>50</formula>
    </cfRule>
  </conditionalFormatting>
  <conditionalFormatting sqref="E21:E26">
    <cfRule type="cellIs" dxfId="52" priority="2" operator="lessThan">
      <formula>50</formula>
    </cfRule>
  </conditionalFormatting>
  <conditionalFormatting sqref="E30:E34">
    <cfRule type="cellIs" dxfId="51" priority="1" operator="lessThan">
      <formula>50</formula>
    </cfRule>
  </conditionalFormatting>
  <conditionalFormatting sqref="F12:F17">
    <cfRule type="containsText" dxfId="50" priority="6" operator="containsText" text="F">
      <formula>NOT(ISERROR(SEARCH("F",F12)))</formula>
    </cfRule>
  </conditionalFormatting>
  <conditionalFormatting sqref="F21:F26">
    <cfRule type="containsText" dxfId="49" priority="5" operator="containsText" text="F">
      <formula>NOT(ISERROR(SEARCH("F",F21)))</formula>
    </cfRule>
  </conditionalFormatting>
  <conditionalFormatting sqref="F30:F34">
    <cfRule type="containsText" dxfId="48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60" zoomScaleNormal="85" workbookViewId="0">
      <selection activeCell="G25" sqref="G25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133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47" priority="3" operator="lessThan">
      <formula>50</formula>
    </cfRule>
  </conditionalFormatting>
  <conditionalFormatting sqref="E21:E26">
    <cfRule type="cellIs" dxfId="46" priority="2" operator="lessThan">
      <formula>50</formula>
    </cfRule>
  </conditionalFormatting>
  <conditionalFormatting sqref="E30:E34">
    <cfRule type="cellIs" dxfId="45" priority="1" operator="lessThan">
      <formula>50</formula>
    </cfRule>
  </conditionalFormatting>
  <conditionalFormatting sqref="F12:F17">
    <cfRule type="containsText" dxfId="44" priority="6" operator="containsText" text="F">
      <formula>NOT(ISERROR(SEARCH("F",F12)))</formula>
    </cfRule>
  </conditionalFormatting>
  <conditionalFormatting sqref="F21:F26">
    <cfRule type="containsText" dxfId="43" priority="5" operator="containsText" text="F">
      <formula>NOT(ISERROR(SEARCH("F",F21)))</formula>
    </cfRule>
  </conditionalFormatting>
  <conditionalFormatting sqref="F30:F34">
    <cfRule type="containsText" dxfId="42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60" zoomScaleNormal="85" workbookViewId="0">
      <selection activeCell="G25" sqref="G25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128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41" priority="3" operator="lessThan">
      <formula>50</formula>
    </cfRule>
  </conditionalFormatting>
  <conditionalFormatting sqref="E21:E26">
    <cfRule type="cellIs" dxfId="40" priority="2" operator="lessThan">
      <formula>50</formula>
    </cfRule>
  </conditionalFormatting>
  <conditionalFormatting sqref="E30:E34">
    <cfRule type="cellIs" dxfId="39" priority="1" operator="lessThan">
      <formula>50</formula>
    </cfRule>
  </conditionalFormatting>
  <conditionalFormatting sqref="F12:F17">
    <cfRule type="containsText" dxfId="38" priority="6" operator="containsText" text="F">
      <formula>NOT(ISERROR(SEARCH("F",F12)))</formula>
    </cfRule>
  </conditionalFormatting>
  <conditionalFormatting sqref="F21:F26">
    <cfRule type="containsText" dxfId="37" priority="5" operator="containsText" text="F">
      <formula>NOT(ISERROR(SEARCH("F",F21)))</formula>
    </cfRule>
  </conditionalFormatting>
  <conditionalFormatting sqref="F30:F34">
    <cfRule type="containsText" dxfId="36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60" zoomScaleNormal="85" workbookViewId="0">
      <selection activeCell="G25" sqref="G25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119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35" priority="3" operator="lessThan">
      <formula>50</formula>
    </cfRule>
  </conditionalFormatting>
  <conditionalFormatting sqref="E21:E26">
    <cfRule type="cellIs" dxfId="34" priority="2" operator="lessThan">
      <formula>50</formula>
    </cfRule>
  </conditionalFormatting>
  <conditionalFormatting sqref="E30:E34">
    <cfRule type="cellIs" dxfId="33" priority="1" operator="lessThan">
      <formula>50</formula>
    </cfRule>
  </conditionalFormatting>
  <conditionalFormatting sqref="F12:F17">
    <cfRule type="containsText" dxfId="32" priority="6" operator="containsText" text="F">
      <formula>NOT(ISERROR(SEARCH("F",F12)))</formula>
    </cfRule>
  </conditionalFormatting>
  <conditionalFormatting sqref="F21:F26">
    <cfRule type="containsText" dxfId="31" priority="5" operator="containsText" text="F">
      <formula>NOT(ISERROR(SEARCH("F",F21)))</formula>
    </cfRule>
  </conditionalFormatting>
  <conditionalFormatting sqref="F30:F34">
    <cfRule type="containsText" dxfId="30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60" zoomScaleNormal="85" workbookViewId="0">
      <selection activeCell="G25" sqref="G25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140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29" priority="3" operator="lessThan">
      <formula>50</formula>
    </cfRule>
  </conditionalFormatting>
  <conditionalFormatting sqref="E21:E26">
    <cfRule type="cellIs" dxfId="28" priority="2" operator="lessThan">
      <formula>50</formula>
    </cfRule>
  </conditionalFormatting>
  <conditionalFormatting sqref="E30:E34">
    <cfRule type="cellIs" dxfId="27" priority="1" operator="lessThan">
      <formula>50</formula>
    </cfRule>
  </conditionalFormatting>
  <conditionalFormatting sqref="F12:F17">
    <cfRule type="containsText" dxfId="26" priority="6" operator="containsText" text="F">
      <formula>NOT(ISERROR(SEARCH("F",F12)))</formula>
    </cfRule>
  </conditionalFormatting>
  <conditionalFormatting sqref="F21:F26">
    <cfRule type="containsText" dxfId="25" priority="5" operator="containsText" text="F">
      <formula>NOT(ISERROR(SEARCH("F",F21)))</formula>
    </cfRule>
  </conditionalFormatting>
  <conditionalFormatting sqref="F30:F34">
    <cfRule type="containsText" dxfId="24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60" zoomScaleNormal="85" workbookViewId="0">
      <selection activeCell="G25" sqref="G25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139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23" priority="3" operator="lessThan">
      <formula>50</formula>
    </cfRule>
  </conditionalFormatting>
  <conditionalFormatting sqref="E21:E26">
    <cfRule type="cellIs" dxfId="22" priority="2" operator="lessThan">
      <formula>50</formula>
    </cfRule>
  </conditionalFormatting>
  <conditionalFormatting sqref="E30:E34">
    <cfRule type="cellIs" dxfId="21" priority="1" operator="lessThan">
      <formula>50</formula>
    </cfRule>
  </conditionalFormatting>
  <conditionalFormatting sqref="F12:F17">
    <cfRule type="containsText" dxfId="20" priority="6" operator="containsText" text="F">
      <formula>NOT(ISERROR(SEARCH("F",F12)))</formula>
    </cfRule>
  </conditionalFormatting>
  <conditionalFormatting sqref="F21:F26">
    <cfRule type="containsText" dxfId="19" priority="5" operator="containsText" text="F">
      <formula>NOT(ISERROR(SEARCH("F",F21)))</formula>
    </cfRule>
  </conditionalFormatting>
  <conditionalFormatting sqref="F30:F34">
    <cfRule type="containsText" dxfId="18" priority="4" operator="containsText" text="f">
      <formula>NOT(ISERROR(SEARCH("f",F30)))</formula>
    </cfRule>
  </conditionalFormatting>
  <printOptions horizontalCentered="1"/>
  <pageMargins left="0.5" right="0.5" top="0.75" bottom="0.75" header="0.3" footer="0.3"/>
  <pageSetup paperSize="9" scale="81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55"/>
  <sheetViews>
    <sheetView view="pageBreakPreview" zoomScale="60" zoomScaleNormal="85" workbookViewId="0">
      <selection activeCell="G25" sqref="G25"/>
    </sheetView>
  </sheetViews>
  <sheetFormatPr defaultColWidth="8.85546875" defaultRowHeight="14.25" x14ac:dyDescent="0.2"/>
  <cols>
    <col min="1" max="1" width="4" style="173" customWidth="1"/>
    <col min="2" max="2" width="22.42578125" style="173" customWidth="1"/>
    <col min="3" max="3" width="22.28515625" style="173" customWidth="1"/>
    <col min="4" max="8" width="13.28515625" style="173" customWidth="1"/>
    <col min="9" max="9" width="31" style="173" hidden="1" customWidth="1"/>
    <col min="10" max="10" width="8.5703125" style="186" customWidth="1"/>
    <col min="11" max="11" width="8.85546875" style="173"/>
    <col min="12" max="13" width="12.5703125" style="170" customWidth="1"/>
    <col min="14" max="14" width="13.28515625" style="173" customWidth="1"/>
    <col min="15" max="16384" width="8.85546875" style="173"/>
  </cols>
  <sheetData>
    <row r="2" spans="2:13" ht="22.5" x14ac:dyDescent="0.2">
      <c r="B2" s="343" t="s">
        <v>43</v>
      </c>
      <c r="C2" s="343"/>
      <c r="D2" s="343"/>
      <c r="E2" s="343"/>
      <c r="F2" s="343"/>
      <c r="G2" s="343"/>
      <c r="H2" s="343"/>
      <c r="I2" s="185">
        <f>$C$39</f>
        <v>0</v>
      </c>
      <c r="J2" s="339" t="e">
        <f>IF($J$47=$D$39,"OK","Error")</f>
        <v>#REF!</v>
      </c>
      <c r="K2" s="339"/>
      <c r="L2" s="339"/>
    </row>
    <row r="3" spans="2:13" ht="15" thickBot="1" x14ac:dyDescent="0.25">
      <c r="H3" s="186"/>
      <c r="I3" s="187" t="e">
        <f>IF($J$47=$I$46,"OK","Error")</f>
        <v>#REF!</v>
      </c>
      <c r="J3" s="340"/>
      <c r="K3" s="340"/>
      <c r="L3" s="340"/>
    </row>
    <row r="4" spans="2:13" ht="19.5" x14ac:dyDescent="0.2">
      <c r="C4" s="344" t="s">
        <v>44</v>
      </c>
      <c r="D4" s="344"/>
      <c r="E4" s="344"/>
      <c r="F4" s="344"/>
      <c r="G4" s="344"/>
      <c r="H4" s="186"/>
      <c r="J4" s="323" t="e">
        <f>SUM($H$12:$H$17,$H$21:$H$26,$H$30:$H$35)/SUM($D$12:$D$17,$D$21:$D$26,$D$30:$D$35)</f>
        <v>#REF!</v>
      </c>
      <c r="K4" s="324"/>
      <c r="L4" s="325"/>
    </row>
    <row r="5" spans="2:13" x14ac:dyDescent="0.2">
      <c r="H5" s="186"/>
      <c r="J5" s="326"/>
      <c r="K5" s="327"/>
      <c r="L5" s="328"/>
    </row>
    <row r="6" spans="2:13" s="276" customFormat="1" ht="25.15" customHeight="1" x14ac:dyDescent="0.25">
      <c r="B6" s="268" t="e">
        <f>CONCATENATE("Name:  ",PROPER(VLOOKUP($F$8,#REF!,3,FALSE)))</f>
        <v>#REF!</v>
      </c>
      <c r="C6" s="269"/>
      <c r="D6" s="273"/>
      <c r="E6" s="274" t="e">
        <f>CONCATENATE("Registration No.:  ",UPPER(VLOOKUP(F8,#REF!,2,FALSE)))</f>
        <v>#REF!</v>
      </c>
      <c r="F6" s="273"/>
      <c r="G6" s="273"/>
      <c r="H6" s="275"/>
      <c r="J6" s="326"/>
      <c r="K6" s="327"/>
      <c r="L6" s="328"/>
      <c r="M6" s="277"/>
    </row>
    <row r="7" spans="2:13" s="276" customFormat="1" ht="25.15" customHeight="1" x14ac:dyDescent="0.25">
      <c r="B7" s="268" t="e">
        <f>CONCATENATE("Father Name:   ",PROPER(VLOOKUP(F8,#REF!,4,FALSE)))</f>
        <v>#REF!</v>
      </c>
      <c r="C7" s="273"/>
      <c r="D7" s="273"/>
      <c r="E7" s="271" t="s">
        <v>22</v>
      </c>
      <c r="F7" s="271" t="s">
        <v>142</v>
      </c>
      <c r="G7" s="273"/>
      <c r="H7" s="275"/>
      <c r="J7" s="326"/>
      <c r="K7" s="327"/>
      <c r="L7" s="328"/>
      <c r="M7" s="277"/>
    </row>
    <row r="8" spans="2:13" s="276" customFormat="1" ht="25.15" customHeight="1" x14ac:dyDescent="0.25">
      <c r="B8" s="269" t="s">
        <v>285</v>
      </c>
      <c r="C8" s="269"/>
      <c r="D8" s="271"/>
      <c r="E8" s="274" t="s">
        <v>47</v>
      </c>
      <c r="F8" s="271" t="s">
        <v>120</v>
      </c>
      <c r="G8" s="271"/>
      <c r="H8" s="275"/>
      <c r="J8" s="326"/>
      <c r="K8" s="327"/>
      <c r="L8" s="328"/>
      <c r="M8" s="277"/>
    </row>
    <row r="9" spans="2:13" ht="19.5" customHeight="1" thickBot="1" x14ac:dyDescent="0.25">
      <c r="B9" s="193" t="s">
        <v>286</v>
      </c>
      <c r="C9" s="188"/>
      <c r="D9" s="194"/>
      <c r="E9" s="189"/>
      <c r="F9" s="192"/>
      <c r="G9" s="195"/>
      <c r="H9" s="191"/>
      <c r="J9" s="345"/>
      <c r="K9" s="346"/>
      <c r="L9" s="347"/>
    </row>
    <row r="10" spans="2:13" ht="15" thickBot="1" x14ac:dyDescent="0.25">
      <c r="B10" s="348" t="s">
        <v>48</v>
      </c>
      <c r="C10" s="349"/>
      <c r="D10" s="196" t="s">
        <v>49</v>
      </c>
      <c r="E10" s="241" t="s">
        <v>12</v>
      </c>
      <c r="F10" s="196" t="s">
        <v>264</v>
      </c>
      <c r="G10" s="196" t="s">
        <v>2</v>
      </c>
      <c r="H10" s="197" t="s">
        <v>50</v>
      </c>
      <c r="J10" s="329"/>
      <c r="K10" s="330"/>
      <c r="L10" s="331"/>
    </row>
    <row r="11" spans="2:13" ht="20.25" customHeight="1" thickBot="1" x14ac:dyDescent="0.25">
      <c r="B11" s="317" t="s">
        <v>51</v>
      </c>
      <c r="C11" s="318"/>
      <c r="D11" s="198"/>
      <c r="E11" s="198"/>
      <c r="F11" s="199"/>
      <c r="G11" s="200"/>
      <c r="H11" s="201"/>
    </row>
    <row r="12" spans="2:13" ht="20.100000000000001" customHeight="1" x14ac:dyDescent="0.2">
      <c r="B12" s="319" t="e">
        <f>#REF!</f>
        <v>#REF!</v>
      </c>
      <c r="C12" s="320" t="e">
        <f>PROPER(#REF!)</f>
        <v>#REF!</v>
      </c>
      <c r="D12" s="254" t="e">
        <f>#REF!</f>
        <v>#REF!</v>
      </c>
      <c r="E12" s="255" t="e">
        <f>VLOOKUP($F$8,'sheet 1'!#REF!,6,FALSE)</f>
        <v>#REF!</v>
      </c>
      <c r="F12" s="254" t="e">
        <f t="shared" ref="F12:F17" si="0">IF(E12&gt;=90,"A+",IF(E12&gt;=80,"A",IF(E12&gt;=75,"B+",IF(E12&gt;=70,"B",IF(E12&gt;=65,"C+",IF(E12&gt;=60,"C",IF(E12&gt;=55,"D+",IF(E12&gt;=50,"D","F"))))))))</f>
        <v>#REF!</v>
      </c>
      <c r="G12" s="256" t="e">
        <f t="shared" ref="G12:G17" si="1">IF(AND(E12&gt;=50,E12&lt;60),1+(E12/10)-5,IF(AND(E12&gt;=60,E12&lt;70),2+(E12/10)-6,IF(AND(E12&gt;=70,E12&lt;80),3+(E12/10)-7,IF(E12&gt;=80,4,IF(E12&lt;50,0)))))</f>
        <v>#REF!</v>
      </c>
      <c r="H12" s="257" t="e">
        <f t="shared" ref="H12:H17" si="2">PRODUCT(D12,G12)</f>
        <v>#REF!</v>
      </c>
      <c r="J12" s="202" t="e">
        <f>SUM(H12:H17)/SUM(D12:D17)</f>
        <v>#REF!</v>
      </c>
    </row>
    <row r="13" spans="2:13" ht="20.100000000000001" customHeight="1" x14ac:dyDescent="0.2">
      <c r="B13" s="313" t="e">
        <f>#REF!</f>
        <v>#REF!</v>
      </c>
      <c r="C13" s="314" t="e">
        <f>PROPER(#REF!)</f>
        <v>#REF!</v>
      </c>
      <c r="D13" s="258" t="e">
        <f>#REF!</f>
        <v>#REF!</v>
      </c>
      <c r="E13" s="259" t="e">
        <f>VLOOKUP($F$8,'sheet 1'!#REF!,10,FALSE)</f>
        <v>#REF!</v>
      </c>
      <c r="F13" s="258" t="e">
        <f t="shared" si="0"/>
        <v>#REF!</v>
      </c>
      <c r="G13" s="260" t="e">
        <f t="shared" si="1"/>
        <v>#REF!</v>
      </c>
      <c r="H13" s="261" t="e">
        <f t="shared" si="2"/>
        <v>#REF!</v>
      </c>
    </row>
    <row r="14" spans="2:13" ht="20.100000000000001" customHeight="1" x14ac:dyDescent="0.2">
      <c r="B14" s="313" t="e">
        <f>#REF!</f>
        <v>#REF!</v>
      </c>
      <c r="C14" s="314" t="e">
        <f>PROPER(#REF!)</f>
        <v>#REF!</v>
      </c>
      <c r="D14" s="258" t="e">
        <f>#REF!</f>
        <v>#REF!</v>
      </c>
      <c r="E14" s="259" t="e">
        <f>VLOOKUP($F$8,'sheet 1'!#REF!,14,FALSE)</f>
        <v>#REF!</v>
      </c>
      <c r="F14" s="258" t="e">
        <f t="shared" si="0"/>
        <v>#REF!</v>
      </c>
      <c r="G14" s="260" t="e">
        <f t="shared" si="1"/>
        <v>#REF!</v>
      </c>
      <c r="H14" s="261" t="e">
        <f t="shared" si="2"/>
        <v>#REF!</v>
      </c>
    </row>
    <row r="15" spans="2:13" ht="20.100000000000001" customHeight="1" thickBot="1" x14ac:dyDescent="0.25">
      <c r="B15" s="313" t="e">
        <f>#REF!</f>
        <v>#REF!</v>
      </c>
      <c r="C15" s="314" t="e">
        <f>PROPER(#REF!)</f>
        <v>#REF!</v>
      </c>
      <c r="D15" s="258" t="e">
        <f>#REF!</f>
        <v>#REF!</v>
      </c>
      <c r="E15" s="259" t="e">
        <f>VLOOKUP($F$8,'sheet 1'!#REF!,18,FALSE)</f>
        <v>#REF!</v>
      </c>
      <c r="F15" s="258" t="e">
        <f t="shared" si="0"/>
        <v>#REF!</v>
      </c>
      <c r="G15" s="260" t="e">
        <f t="shared" si="1"/>
        <v>#REF!</v>
      </c>
      <c r="H15" s="261" t="e">
        <f t="shared" si="2"/>
        <v>#REF!</v>
      </c>
    </row>
    <row r="16" spans="2:13" ht="20.100000000000001" customHeight="1" x14ac:dyDescent="0.2">
      <c r="B16" s="313" t="e">
        <f>#REF!</f>
        <v>#REF!</v>
      </c>
      <c r="C16" s="314" t="e">
        <f>PROPER(#REF!)</f>
        <v>#REF!</v>
      </c>
      <c r="D16" s="258" t="e">
        <f>#REF!</f>
        <v>#REF!</v>
      </c>
      <c r="E16" s="259" t="e">
        <f>VLOOKUP($F$8,'sheet 1'!#REF!,22,FALSE)</f>
        <v>#REF!</v>
      </c>
      <c r="F16" s="258" t="e">
        <f t="shared" si="0"/>
        <v>#REF!</v>
      </c>
      <c r="G16" s="260" t="e">
        <f t="shared" si="1"/>
        <v>#REF!</v>
      </c>
      <c r="H16" s="261" t="e">
        <f t="shared" si="2"/>
        <v>#REF!</v>
      </c>
      <c r="L16" s="311" t="e">
        <f>IF(L18=M18,"OK","Error")</f>
        <v>#REF!</v>
      </c>
      <c r="M16" s="312"/>
    </row>
    <row r="17" spans="2:13" ht="20.100000000000001" customHeight="1" thickBot="1" x14ac:dyDescent="0.25">
      <c r="B17" s="341" t="e">
        <f>#REF!</f>
        <v>#REF!</v>
      </c>
      <c r="C17" s="342" t="e">
        <f>PROPER(#REF!)</f>
        <v>#REF!</v>
      </c>
      <c r="D17" s="258" t="e">
        <f>#REF!</f>
        <v>#REF!</v>
      </c>
      <c r="E17" s="259" t="e">
        <f>VLOOKUP($F$8,'sheet 1'!#REF!,26,FALSE)</f>
        <v>#REF!</v>
      </c>
      <c r="F17" s="258" t="e">
        <f t="shared" si="0"/>
        <v>#REF!</v>
      </c>
      <c r="G17" s="260" t="e">
        <f t="shared" si="1"/>
        <v>#REF!</v>
      </c>
      <c r="H17" s="261" t="e">
        <f t="shared" si="2"/>
        <v>#REF!</v>
      </c>
      <c r="L17" s="183" t="s">
        <v>109</v>
      </c>
      <c r="M17" s="184" t="s">
        <v>110</v>
      </c>
    </row>
    <row r="18" spans="2:13" ht="20.25" thickBot="1" x14ac:dyDescent="0.3">
      <c r="B18" s="242" t="s">
        <v>52</v>
      </c>
      <c r="C18" s="243" t="e">
        <f>SUM(D12:D17)</f>
        <v>#REF!</v>
      </c>
      <c r="D18" s="244" t="s">
        <v>13</v>
      </c>
      <c r="E18" s="245" t="e">
        <f>VLOOKUP($F$8,'sheet 1'!#REF!,38,FALSE)</f>
        <v>#REF!</v>
      </c>
      <c r="F18" s="244" t="s">
        <v>53</v>
      </c>
      <c r="G18" s="244" t="e">
        <f>IF(E18&gt;=4,"A",IF(E18&gt;=4,"A",IF(E18&gt;=3.5,"B+",IF(E18&gt;=3,"B",IF(E18&gt;=2.5,"C",IF(E18&gt;=2,"C",IF(E18&gt;=1.5,"D+",IF(E18&gt;=1,"D","F"))))))))</f>
        <v>#REF!</v>
      </c>
      <c r="H18" s="246"/>
      <c r="J18" s="207" t="e">
        <f>VLOOKUP($F$8,#REF!,5,FALSE)</f>
        <v>#REF!</v>
      </c>
      <c r="L18" s="230" t="e">
        <f>SUM(H12:H17)/SUM(D12:D17)</f>
        <v>#REF!</v>
      </c>
      <c r="M18" s="229" t="e">
        <f>E18</f>
        <v>#REF!</v>
      </c>
    </row>
    <row r="19" spans="2:13" ht="20.25" thickBot="1" x14ac:dyDescent="0.3">
      <c r="B19" s="247" t="s">
        <v>54</v>
      </c>
      <c r="C19" s="248" t="e">
        <f>SUM(D12:D17)</f>
        <v>#REF!</v>
      </c>
      <c r="D19" s="249" t="s">
        <v>55</v>
      </c>
      <c r="E19" s="250" t="e">
        <f>SUM(G12:G17)</f>
        <v>#REF!</v>
      </c>
      <c r="F19" s="248" t="s">
        <v>56</v>
      </c>
      <c r="G19" s="251" t="e">
        <f>IF(E18&gt;=4,"Excellent",IF(E18&gt;=3.5,"Very Good",IF(E18&gt;=3,"Good",IF(E18&gt;=2.5,"Fair",IF(E18&gt;=2,"Fair",IF(E18&gt;=1.5,"Pass(Probation)",IF(E18&gt;=1,"Pass(Probation)","Fail")))))))</f>
        <v>#REF!</v>
      </c>
      <c r="H19" s="252"/>
      <c r="J19" s="208"/>
    </row>
    <row r="20" spans="2:13" ht="21" customHeight="1" thickBot="1" x14ac:dyDescent="0.3">
      <c r="B20" s="317" t="s">
        <v>10</v>
      </c>
      <c r="C20" s="318"/>
      <c r="D20" s="209"/>
      <c r="E20" s="209"/>
      <c r="F20" s="210"/>
      <c r="G20" s="211"/>
      <c r="H20" s="212"/>
      <c r="J20" s="208"/>
    </row>
    <row r="21" spans="2:13" ht="20.45" customHeight="1" x14ac:dyDescent="0.25">
      <c r="B21" s="233" t="e">
        <f>#REF!</f>
        <v>#REF!</v>
      </c>
      <c r="C21" s="234"/>
      <c r="D21" s="254" t="e">
        <f>#REF!</f>
        <v>#REF!</v>
      </c>
      <c r="E21" s="255" t="e">
        <f>VLOOKUP($F$8,'sheet 1'!#REF!,48,FALSE)</f>
        <v>#REF!</v>
      </c>
      <c r="F21" s="254" t="e">
        <f t="shared" ref="F21:F26" si="3">IF(E21&gt;=90,"A+",IF(E21&gt;=80,"A",IF(E21&gt;=75,"B+",IF(E21&gt;=70,"B",IF(E21&gt;=65,"C+",IF(E21&gt;=60,"C",IF(E21&gt;=55,"D+",IF(E21&gt;=50,"D","F"))))))))</f>
        <v>#REF!</v>
      </c>
      <c r="G21" s="256" t="e">
        <f t="shared" ref="G21:G26" si="4">IF(AND(E21&gt;=50,E21&lt;60),1+(E21/10)-5,IF(AND(E21&gt;=60,E21&lt;70),2+(E21/10)-6,IF(AND(E21&gt;=70,E21&lt;80),3+(E21/10)-7,IF(E21&gt;=80,4,IF(E21&lt;50,0)))))</f>
        <v>#REF!</v>
      </c>
      <c r="H21" s="262" t="e">
        <f t="shared" ref="H21:H26" si="5">G21*D21</f>
        <v>#REF!</v>
      </c>
      <c r="J21" s="208"/>
    </row>
    <row r="22" spans="2:13" ht="20.45" customHeight="1" x14ac:dyDescent="0.25">
      <c r="B22" s="235" t="e">
        <f>#REF!</f>
        <v>#REF!</v>
      </c>
      <c r="C22" s="190"/>
      <c r="D22" s="258" t="e">
        <f>#REF!</f>
        <v>#REF!</v>
      </c>
      <c r="E22" s="259" t="e">
        <f>VLOOKUP($F$8,'sheet 1'!#REF!,52,FALSE)</f>
        <v>#REF!</v>
      </c>
      <c r="F22" s="258" t="e">
        <f t="shared" si="3"/>
        <v>#REF!</v>
      </c>
      <c r="G22" s="260" t="e">
        <f t="shared" si="4"/>
        <v>#REF!</v>
      </c>
      <c r="H22" s="263" t="e">
        <f t="shared" si="5"/>
        <v>#REF!</v>
      </c>
      <c r="J22" s="208"/>
    </row>
    <row r="23" spans="2:13" ht="20.45" customHeight="1" x14ac:dyDescent="0.25">
      <c r="B23" s="235" t="e">
        <f>#REF!</f>
        <v>#REF!</v>
      </c>
      <c r="C23" s="190"/>
      <c r="D23" s="258" t="e">
        <f>#REF!</f>
        <v>#REF!</v>
      </c>
      <c r="E23" s="259" t="e">
        <f>VLOOKUP($F$8,'sheet 1'!#REF!,56,FALSE)</f>
        <v>#REF!</v>
      </c>
      <c r="F23" s="258" t="e">
        <f t="shared" si="3"/>
        <v>#REF!</v>
      </c>
      <c r="G23" s="260" t="e">
        <f t="shared" si="4"/>
        <v>#REF!</v>
      </c>
      <c r="H23" s="263" t="e">
        <f t="shared" si="5"/>
        <v>#REF!</v>
      </c>
      <c r="J23" s="208"/>
    </row>
    <row r="24" spans="2:13" ht="20.45" customHeight="1" thickBot="1" x14ac:dyDescent="0.3">
      <c r="B24" s="231" t="e">
        <f>#REF!</f>
        <v>#REF!</v>
      </c>
      <c r="C24" s="232"/>
      <c r="D24" s="258" t="e">
        <f>#REF!</f>
        <v>#REF!</v>
      </c>
      <c r="E24" s="259" t="e">
        <f>VLOOKUP($F$8,'sheet 1'!#REF!,60,FALSE)</f>
        <v>#REF!</v>
      </c>
      <c r="F24" s="258" t="e">
        <f t="shared" si="3"/>
        <v>#REF!</v>
      </c>
      <c r="G24" s="260" t="e">
        <f t="shared" si="4"/>
        <v>#REF!</v>
      </c>
      <c r="H24" s="263" t="e">
        <f t="shared" si="5"/>
        <v>#REF!</v>
      </c>
      <c r="J24" s="208"/>
    </row>
    <row r="25" spans="2:13" ht="20.45" customHeight="1" x14ac:dyDescent="0.25">
      <c r="B25" s="231" t="e">
        <f>#REF!</f>
        <v>#REF!</v>
      </c>
      <c r="C25" s="232"/>
      <c r="D25" s="258" t="e">
        <f>#REF!</f>
        <v>#REF!</v>
      </c>
      <c r="E25" s="259" t="e">
        <f>VLOOKUP($F$8,'sheet 1'!#REF!,64,FALSE)</f>
        <v>#REF!</v>
      </c>
      <c r="F25" s="258" t="e">
        <f t="shared" si="3"/>
        <v>#REF!</v>
      </c>
      <c r="G25" s="260" t="e">
        <f t="shared" si="4"/>
        <v>#REF!</v>
      </c>
      <c r="H25" s="263" t="e">
        <f t="shared" si="5"/>
        <v>#REF!</v>
      </c>
      <c r="J25" s="208"/>
      <c r="L25" s="311" t="e">
        <f>IF(L27=M27,"OK","Error")</f>
        <v>#REF!</v>
      </c>
      <c r="M25" s="312"/>
    </row>
    <row r="26" spans="2:13" ht="20.45" customHeight="1" thickBot="1" x14ac:dyDescent="0.3">
      <c r="B26" s="231" t="e">
        <f>#REF!</f>
        <v>#REF!</v>
      </c>
      <c r="C26" s="213"/>
      <c r="D26" s="258" t="e">
        <f>#REF!</f>
        <v>#REF!</v>
      </c>
      <c r="E26" s="259" t="e">
        <f>VLOOKUP($F$8,'sheet 1'!#REF!,68,FALSE)</f>
        <v>#REF!</v>
      </c>
      <c r="F26" s="258" t="e">
        <f t="shared" si="3"/>
        <v>#REF!</v>
      </c>
      <c r="G26" s="260" t="e">
        <f t="shared" si="4"/>
        <v>#REF!</v>
      </c>
      <c r="H26" s="263" t="e">
        <f t="shared" si="5"/>
        <v>#REF!</v>
      </c>
      <c r="J26" s="208"/>
      <c r="L26" s="183" t="s">
        <v>109</v>
      </c>
      <c r="M26" s="184" t="s">
        <v>110</v>
      </c>
    </row>
    <row r="27" spans="2:13" ht="20.25" thickBot="1" x14ac:dyDescent="0.3">
      <c r="B27" s="242" t="s">
        <v>52</v>
      </c>
      <c r="C27" s="243" t="e">
        <f>SUM(D21:D26)</f>
        <v>#REF!</v>
      </c>
      <c r="D27" s="244" t="s">
        <v>13</v>
      </c>
      <c r="E27" s="245" t="e">
        <f>VLOOKUP($F$8,'sheet 1'!#REF!,38,FALSE)</f>
        <v>#REF!</v>
      </c>
      <c r="F27" s="244" t="s">
        <v>53</v>
      </c>
      <c r="G27" s="244" t="e">
        <f>IF(E27&gt;=4,"A",IF(E27&gt;=4,"A",IF(E27&gt;=3.5,"B+",IF(E27&gt;=3,"B",IF(E27&gt;=2.5,"C",IF(E27&gt;=2,"C",IF(E27&gt;=1.5,"D+",IF(E27&gt;=1,"D","F"))))))))</f>
        <v>#REF!</v>
      </c>
      <c r="H27" s="246"/>
      <c r="J27" s="207" t="e">
        <f>VLOOKUP($F$8,#REF!,11,FALSE)</f>
        <v>#REF!</v>
      </c>
      <c r="L27" s="230" t="e">
        <f>SUM(H21:H26)/SUM(D21:D26)</f>
        <v>#REF!</v>
      </c>
      <c r="M27" s="229" t="e">
        <f>E27</f>
        <v>#REF!</v>
      </c>
    </row>
    <row r="28" spans="2:13" ht="20.25" thickBot="1" x14ac:dyDescent="0.3">
      <c r="B28" s="247" t="s">
        <v>54</v>
      </c>
      <c r="C28" s="248" t="e">
        <f>SUM(D21:D26,D12:D17)</f>
        <v>#REF!</v>
      </c>
      <c r="D28" s="249" t="s">
        <v>55</v>
      </c>
      <c r="E28" s="250" t="e">
        <f>SUM(G21:G26)</f>
        <v>#REF!</v>
      </c>
      <c r="F28" s="253" t="s">
        <v>56</v>
      </c>
      <c r="G28" s="251" t="e">
        <f>IF(E27&gt;=4,"Excellent",IF(E27&gt;=3.5,"Very Good",IF(E27&gt;=3,"Good",IF(E27&gt;=2.5,"Fair",IF(E27&gt;=2,"Fair",IF(E27&gt;=1.5,"Pass(Probation)",IF(E27&gt;=1,"Pass(Probation)","Fail")))))))</f>
        <v>#REF!</v>
      </c>
      <c r="H28" s="252"/>
      <c r="J28" s="208"/>
    </row>
    <row r="29" spans="2:13" ht="21.75" customHeight="1" thickBot="1" x14ac:dyDescent="0.3">
      <c r="B29" s="317" t="s">
        <v>14</v>
      </c>
      <c r="C29" s="318"/>
      <c r="D29" s="214"/>
      <c r="E29" s="214"/>
      <c r="F29" s="215"/>
      <c r="G29" s="200"/>
      <c r="H29" s="201"/>
      <c r="J29" s="208"/>
    </row>
    <row r="30" spans="2:13" ht="20.45" customHeight="1" x14ac:dyDescent="0.25">
      <c r="B30" s="319" t="e">
        <f>#REF!</f>
        <v>#REF!</v>
      </c>
      <c r="C30" s="320"/>
      <c r="D30" s="264" t="e">
        <f>#REF!</f>
        <v>#REF!</v>
      </c>
      <c r="E30" s="255" t="e">
        <f>VLOOKUP($F$8,'sheet 1'!#REF!,91,FALSE)</f>
        <v>#REF!</v>
      </c>
      <c r="F30" s="254" t="e">
        <f t="shared" ref="F30:F34" si="6">IF(E30&gt;=90,"A+",IF(E30&gt;=80,"A",IF(E30&gt;=75,"B+",IF(E30&gt;=70,"B",IF(E30&gt;=65,"C+",IF(E30&gt;=60,"C",IF(E30&gt;=55,"D+",IF(E30&gt;=50,"D","F"))))))))</f>
        <v>#REF!</v>
      </c>
      <c r="G30" s="256" t="e">
        <f t="shared" ref="G30:G34" si="7">IF(AND(E30&gt;=50,E30&lt;60),1+(E30/10)-5,IF(AND(E30&gt;=60,E30&lt;70),2+(E30/10)-6,IF(AND(E30&gt;=70,E30&lt;80),3+(E30/10)-7,IF(E30&gt;=80,4,IF(E30&lt;50,0)))))</f>
        <v>#REF!</v>
      </c>
      <c r="H30" s="257" t="e">
        <f t="shared" ref="H30:H34" si="8">PRODUCT(D30,G30)</f>
        <v>#REF!</v>
      </c>
      <c r="J30" s="208"/>
    </row>
    <row r="31" spans="2:13" ht="20.45" customHeight="1" x14ac:dyDescent="0.25">
      <c r="B31" s="313" t="e">
        <f>#REF!</f>
        <v>#REF!</v>
      </c>
      <c r="C31" s="314"/>
      <c r="D31" s="258" t="e">
        <f>#REF!</f>
        <v>#REF!</v>
      </c>
      <c r="E31" s="259" t="e">
        <f>VLOOKUP($F$8,'sheet 1'!#REF!,95,FALSE)</f>
        <v>#REF!</v>
      </c>
      <c r="F31" s="258" t="e">
        <f t="shared" si="6"/>
        <v>#REF!</v>
      </c>
      <c r="G31" s="260" t="e">
        <f t="shared" si="7"/>
        <v>#REF!</v>
      </c>
      <c r="H31" s="263" t="e">
        <f t="shared" si="8"/>
        <v>#REF!</v>
      </c>
      <c r="J31" s="208"/>
    </row>
    <row r="32" spans="2:13" ht="20.45" customHeight="1" x14ac:dyDescent="0.25">
      <c r="B32" s="313" t="e">
        <f>#REF!</f>
        <v>#REF!</v>
      </c>
      <c r="C32" s="314"/>
      <c r="D32" s="265" t="e">
        <f>#REF!</f>
        <v>#REF!</v>
      </c>
      <c r="E32" s="266" t="e">
        <f>VLOOKUP($F$8,'sheet 1'!#REF!,99,FALSE)</f>
        <v>#REF!</v>
      </c>
      <c r="F32" s="265" t="e">
        <f>IF(E32&gt;=90,"A+",IF(E32&gt;=80,"A",IF(E32&gt;=75,"B+",IF(E32&gt;=70,"B",IF(E32&gt;=65,"C+",IF(E32&gt;=60,"C",IF(E32&gt;=55,"D+",IF(E32&gt;=50,"D","F"))))))))</f>
        <v>#REF!</v>
      </c>
      <c r="G32" s="267" t="e">
        <f>IF(AND(E32&gt;=50,E32&lt;60),1+(E32/10)-5,IF(AND(E32&gt;=60,E32&lt;70),2+(E32/10)-6,IF(AND(E32&gt;=70,E32&lt;80),3+(E32/10)-7,IF(E32&gt;=80,4,IF(E32&lt;50,0)))))</f>
        <v>#REF!</v>
      </c>
      <c r="H32" s="263" t="e">
        <f>PRODUCT(D32,G32)</f>
        <v>#REF!</v>
      </c>
      <c r="J32" s="208"/>
    </row>
    <row r="33" spans="2:13" ht="20.45" customHeight="1" thickBot="1" x14ac:dyDescent="0.3">
      <c r="B33" s="231" t="e">
        <f>#REF!</f>
        <v>#REF!</v>
      </c>
      <c r="C33" s="232"/>
      <c r="D33" s="265" t="e">
        <f>#REF!</f>
        <v>#REF!</v>
      </c>
      <c r="E33" s="266" t="e">
        <f>VLOOKUP($F$8,'sheet 1'!#REF!,103,FALSE)</f>
        <v>#REF!</v>
      </c>
      <c r="F33" s="265" t="e">
        <f t="shared" si="6"/>
        <v>#REF!</v>
      </c>
      <c r="G33" s="267" t="e">
        <f t="shared" si="7"/>
        <v>#REF!</v>
      </c>
      <c r="H33" s="263" t="e">
        <f t="shared" si="8"/>
        <v>#REF!</v>
      </c>
      <c r="J33" s="208"/>
    </row>
    <row r="34" spans="2:13" ht="20.45" customHeight="1" x14ac:dyDescent="0.25">
      <c r="B34" s="313" t="e">
        <f>#REF!</f>
        <v>#REF!</v>
      </c>
      <c r="C34" s="314"/>
      <c r="D34" s="265" t="e">
        <f>#REF!</f>
        <v>#REF!</v>
      </c>
      <c r="E34" s="266" t="e">
        <f>VLOOKUP($F$8,'sheet 1'!#REF!,107,FALSE)</f>
        <v>#REF!</v>
      </c>
      <c r="F34" s="265" t="e">
        <f t="shared" si="6"/>
        <v>#REF!</v>
      </c>
      <c r="G34" s="267" t="e">
        <f t="shared" si="7"/>
        <v>#REF!</v>
      </c>
      <c r="H34" s="263" t="e">
        <f t="shared" si="8"/>
        <v>#REF!</v>
      </c>
      <c r="J34" s="208"/>
      <c r="L34" s="311" t="e">
        <f>IF(L36=M36,"OK","Error")</f>
        <v>#REF!</v>
      </c>
      <c r="M34" s="312"/>
    </row>
    <row r="35" spans="2:13" ht="20.45" customHeight="1" thickBot="1" x14ac:dyDescent="0.3">
      <c r="B35" s="332" t="e">
        <f>PROPER(#REF!)</f>
        <v>#REF!</v>
      </c>
      <c r="C35" s="333"/>
      <c r="D35" s="203"/>
      <c r="E35" s="204"/>
      <c r="F35" s="203"/>
      <c r="G35" s="205"/>
      <c r="H35" s="206"/>
      <c r="J35" s="208"/>
      <c r="L35" s="183" t="s">
        <v>109</v>
      </c>
      <c r="M35" s="184" t="s">
        <v>110</v>
      </c>
    </row>
    <row r="36" spans="2:13" ht="20.25" thickBot="1" x14ac:dyDescent="0.3">
      <c r="B36" s="242" t="s">
        <v>52</v>
      </c>
      <c r="C36" s="243" t="e">
        <f>SUM(D30:D35)</f>
        <v>#REF!</v>
      </c>
      <c r="D36" s="244" t="s">
        <v>13</v>
      </c>
      <c r="E36" s="245" t="e">
        <f>VLOOKUP($F$8,'sheet 1'!#REF!,38,FALSE)</f>
        <v>#REF!</v>
      </c>
      <c r="F36" s="244" t="s">
        <v>53</v>
      </c>
      <c r="G36" s="244" t="e">
        <f>IF(E36&gt;=4,"A",IF(E36&gt;=4,"A",IF(E36&gt;=3.5,"B+",IF(E36&gt;=3,"B",IF(E36&gt;=2.5,"C",IF(E36&gt;=2,"C",IF(E36&gt;=1.5,"D+",IF(E36&gt;=1,"D","F"))))))))</f>
        <v>#REF!</v>
      </c>
      <c r="H36" s="246"/>
      <c r="J36" s="207" t="e">
        <f>VLOOKUP($F$8,#REF!,11,FALSE)</f>
        <v>#REF!</v>
      </c>
      <c r="L36" s="230" t="e">
        <f>SUM(H30:H35)/SUM(D30:D35)</f>
        <v>#REF!</v>
      </c>
      <c r="M36" s="229" t="e">
        <f>E36</f>
        <v>#REF!</v>
      </c>
    </row>
    <row r="37" spans="2:13" ht="20.25" thickBot="1" x14ac:dyDescent="0.3">
      <c r="B37" s="247" t="s">
        <v>54</v>
      </c>
      <c r="C37" s="248" t="e">
        <f>SUM(D30:D35,D21:D26,D12:D17)</f>
        <v>#REF!</v>
      </c>
      <c r="D37" s="249" t="s">
        <v>55</v>
      </c>
      <c r="E37" s="250" t="e">
        <f>SUM(G29:G35)</f>
        <v>#REF!</v>
      </c>
      <c r="F37" s="253" t="s">
        <v>56</v>
      </c>
      <c r="G37" s="251" t="e">
        <f>IF(E36&gt;=4,"Excellent",IF(E36&gt;=3.5,"Very Good",IF(E36&gt;=3,"Good",IF(E36&gt;=2.5,"Fair",IF(E36&gt;=2,"Fair",IF(E36&gt;=1.5,"Pass(Probation)",IF(E36&gt;=1,"Pass(Probation)","Fail")))))))</f>
        <v>#REF!</v>
      </c>
      <c r="H37" s="252"/>
      <c r="J37" s="208"/>
    </row>
    <row r="38" spans="2:13" ht="22.5" customHeight="1" thickBot="1" x14ac:dyDescent="0.3">
      <c r="B38" s="216"/>
      <c r="C38" s="217"/>
      <c r="D38" s="218"/>
      <c r="E38" s="219"/>
      <c r="F38" s="220"/>
      <c r="G38" s="221"/>
      <c r="H38" s="222"/>
      <c r="J38" s="208"/>
    </row>
    <row r="39" spans="2:13" ht="20.45" customHeight="1" x14ac:dyDescent="0.25">
      <c r="B39" s="334" t="s">
        <v>258</v>
      </c>
      <c r="C39" s="335"/>
      <c r="D39" s="236" t="e">
        <f>VLOOKUP($F$8,Table1345[],13,FALSE)</f>
        <v>#N/A</v>
      </c>
      <c r="E39" s="219"/>
      <c r="F39" s="220"/>
      <c r="G39" s="221"/>
      <c r="H39" s="222"/>
      <c r="J39" s="208"/>
    </row>
    <row r="40" spans="2:13" ht="20.45" customHeight="1" x14ac:dyDescent="0.25">
      <c r="B40" s="315" t="s">
        <v>287</v>
      </c>
      <c r="C40" s="316"/>
      <c r="D40" s="237" t="e">
        <f>LOOKUP(D39,'[1]Grading Criteria'!$F$5:$F$22,'[1]Grading Criteria'!$B$5:$B$22)</f>
        <v>#N/A</v>
      </c>
      <c r="E40" s="223"/>
      <c r="F40" s="223"/>
      <c r="G40" s="223"/>
      <c r="H40" s="222"/>
      <c r="J40" s="208"/>
    </row>
    <row r="41" spans="2:13" ht="20.45" customHeight="1" x14ac:dyDescent="0.25">
      <c r="B41" s="321" t="s">
        <v>259</v>
      </c>
      <c r="C41" s="322"/>
      <c r="D41" s="237" t="e">
        <f>LOOKUP(D39,'[1]Grading Criteria'!$F$5:$F$22,'[1]Grading Criteria'!$H$5:$H$22)</f>
        <v>#N/A</v>
      </c>
      <c r="E41" s="224"/>
      <c r="F41" s="224"/>
      <c r="G41" s="224"/>
      <c r="H41" s="225"/>
      <c r="J41" s="240"/>
    </row>
    <row r="42" spans="2:13" ht="20.45" customHeight="1" x14ac:dyDescent="0.25">
      <c r="B42" s="321" t="s">
        <v>20</v>
      </c>
      <c r="C42" s="322"/>
      <c r="D42" s="238" t="e">
        <f>'sheet 1'!#REF!</f>
        <v>#REF!</v>
      </c>
      <c r="E42" s="224"/>
      <c r="F42" s="224"/>
      <c r="G42" s="224"/>
      <c r="H42" s="225"/>
      <c r="J42" s="240"/>
    </row>
    <row r="43" spans="2:13" ht="20.45" customHeight="1" x14ac:dyDescent="0.25">
      <c r="B43" s="321" t="s">
        <v>260</v>
      </c>
      <c r="C43" s="322"/>
      <c r="D43" s="238" t="e">
        <f>VLOOKUP(F8,#REF!,14,FALSE)</f>
        <v>#REF!</v>
      </c>
      <c r="E43" s="224"/>
      <c r="F43" s="224"/>
      <c r="G43" s="224"/>
      <c r="H43" s="225"/>
      <c r="J43" s="240"/>
    </row>
    <row r="44" spans="2:13" ht="20.45" customHeight="1" x14ac:dyDescent="0.25">
      <c r="B44" s="321" t="s">
        <v>261</v>
      </c>
      <c r="C44" s="322"/>
      <c r="D44" s="239" t="e">
        <f>VLOOKUP(F8,#REF!,15,FALSE)</f>
        <v>#REF!</v>
      </c>
      <c r="E44" s="224"/>
      <c r="F44" s="224"/>
      <c r="G44" s="224"/>
      <c r="H44" s="225"/>
      <c r="J44" s="240"/>
    </row>
    <row r="45" spans="2:13" ht="20.45" customHeight="1" thickBot="1" x14ac:dyDescent="0.3">
      <c r="B45" s="336" t="s">
        <v>262</v>
      </c>
      <c r="C45" s="337"/>
      <c r="D45" s="338"/>
      <c r="E45" s="226"/>
      <c r="F45" s="278" t="s">
        <v>61</v>
      </c>
      <c r="G45" s="270"/>
      <c r="H45" s="272"/>
      <c r="J45" s="339" t="e">
        <f>IF($J$47=$D$39,"OK","Error")</f>
        <v>#REF!</v>
      </c>
      <c r="K45" s="339"/>
      <c r="L45" s="339"/>
      <c r="M45" s="173"/>
    </row>
    <row r="46" spans="2:13" ht="20.45" customHeight="1" thickBot="1" x14ac:dyDescent="0.3">
      <c r="B46" s="227" t="s">
        <v>263</v>
      </c>
      <c r="C46" s="226"/>
      <c r="D46" s="221"/>
      <c r="E46" s="226"/>
      <c r="F46" s="278" t="s">
        <v>4</v>
      </c>
      <c r="G46" s="270"/>
      <c r="H46" s="272"/>
      <c r="I46" s="185">
        <f>$C$39</f>
        <v>0</v>
      </c>
      <c r="J46" s="340"/>
      <c r="K46" s="340"/>
      <c r="L46" s="340"/>
      <c r="M46" s="173"/>
    </row>
    <row r="47" spans="2:13" ht="20.45" customHeight="1" x14ac:dyDescent="0.2">
      <c r="D47" s="226"/>
      <c r="G47" s="228"/>
      <c r="I47" s="187" t="e">
        <f>IF($J$47=$I$46,"OK","Error")</f>
        <v>#REF!</v>
      </c>
      <c r="J47" s="323" t="e">
        <f>SUM($H$12:$H$17,$H$21:$H$26,$H$30:$H$35,)/SUM($D$12:$D$17,$D$21:$D$26,$D$30:$D$35,)</f>
        <v>#REF!</v>
      </c>
      <c r="K47" s="324"/>
      <c r="L47" s="325"/>
      <c r="M47" s="173"/>
    </row>
    <row r="48" spans="2:13" x14ac:dyDescent="0.2">
      <c r="G48" s="228"/>
      <c r="J48" s="326"/>
      <c r="K48" s="327"/>
      <c r="L48" s="328"/>
    </row>
    <row r="49" spans="9:12" x14ac:dyDescent="0.2">
      <c r="I49" s="170"/>
      <c r="J49" s="326"/>
      <c r="K49" s="327"/>
      <c r="L49" s="328"/>
    </row>
    <row r="50" spans="9:12" x14ac:dyDescent="0.2">
      <c r="J50" s="326"/>
      <c r="K50" s="327"/>
      <c r="L50" s="328"/>
    </row>
    <row r="51" spans="9:12" ht="17.45" customHeight="1" x14ac:dyDescent="0.2">
      <c r="J51" s="326"/>
      <c r="K51" s="327"/>
      <c r="L51" s="328"/>
    </row>
    <row r="52" spans="9:12" ht="17.45" customHeight="1" thickBot="1" x14ac:dyDescent="0.25">
      <c r="J52" s="329"/>
      <c r="K52" s="330"/>
      <c r="L52" s="331"/>
    </row>
    <row r="53" spans="9:12" ht="17.45" customHeight="1" x14ac:dyDescent="0.2"/>
    <row r="54" spans="9:12" ht="21.75" customHeight="1" x14ac:dyDescent="0.2"/>
    <row r="55" spans="9:12" ht="20.45" customHeight="1" x14ac:dyDescent="0.2"/>
  </sheetData>
  <mergeCells count="31">
    <mergeCell ref="L16:M16"/>
    <mergeCell ref="B2:H2"/>
    <mergeCell ref="J2:L3"/>
    <mergeCell ref="C4:G4"/>
    <mergeCell ref="J4:L10"/>
    <mergeCell ref="B10:C10"/>
    <mergeCell ref="B11:C11"/>
    <mergeCell ref="B12:C12"/>
    <mergeCell ref="B13:C13"/>
    <mergeCell ref="B14:C14"/>
    <mergeCell ref="B15:C15"/>
    <mergeCell ref="B16:C16"/>
    <mergeCell ref="B40:C40"/>
    <mergeCell ref="B17:C17"/>
    <mergeCell ref="B20:C20"/>
    <mergeCell ref="L25:M25"/>
    <mergeCell ref="B29:C29"/>
    <mergeCell ref="B30:C30"/>
    <mergeCell ref="B31:C31"/>
    <mergeCell ref="B32:C32"/>
    <mergeCell ref="B34:C34"/>
    <mergeCell ref="L34:M34"/>
    <mergeCell ref="B35:C35"/>
    <mergeCell ref="B39:C39"/>
    <mergeCell ref="J47:L52"/>
    <mergeCell ref="B41:C41"/>
    <mergeCell ref="B42:C42"/>
    <mergeCell ref="B43:C43"/>
    <mergeCell ref="B44:C44"/>
    <mergeCell ref="B45:D45"/>
    <mergeCell ref="J45:L46"/>
  </mergeCells>
  <conditionalFormatting sqref="E12:E17">
    <cfRule type="cellIs" dxfId="17" priority="3" operator="lessThan">
      <formula>50</formula>
    </cfRule>
  </conditionalFormatting>
  <conditionalFormatting sqref="E21:E26">
    <cfRule type="cellIs" dxfId="16" priority="2" operator="lessThan">
      <formula>50</formula>
    </cfRule>
  </conditionalFormatting>
  <conditionalFormatting sqref="E30:E34">
    <cfRule type="cellIs" dxfId="15" priority="1" operator="lessThan">
      <formula>50</formula>
    </cfRule>
  </conditionalFormatting>
  <conditionalFormatting sqref="F12:F17">
    <cfRule type="containsText" dxfId="14" priority="6" operator="containsText" text="F">
      <formula>NOT(ISERROR(SEARCH("F",F12)))</formula>
    </cfRule>
  </conditionalFormatting>
  <conditionalFormatting sqref="F21:F26">
    <cfRule type="containsText" dxfId="13" priority="5" operator="containsText" text="F">
      <formula>NOT(ISERROR(SEARCH("F",F21)))</formula>
    </cfRule>
  </conditionalFormatting>
  <conditionalFormatting sqref="F30:F34">
    <cfRule type="containsText" dxfId="12" priority="4" operator="containsText" text="f">
      <formula>NOT(ISERROR(SEARCH("f",F30)))</formula>
    </cfRule>
  </conditionalFormatting>
  <printOptions horizontalCentered="1"/>
  <pageMargins left="0.5" right="0.5" top="0.75" bottom="0.5" header="0.3" footer="0.3"/>
  <pageSetup paperSize="9" scale="83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SB167"/>
  <sheetViews>
    <sheetView zoomScale="55" zoomScaleNormal="55" zoomScaleSheetLayoutView="55" workbookViewId="0">
      <selection activeCell="V10" sqref="V10:V160"/>
    </sheetView>
  </sheetViews>
  <sheetFormatPr defaultColWidth="18" defaultRowHeight="14.25" x14ac:dyDescent="0.2"/>
  <cols>
    <col min="1" max="1" width="18" style="116"/>
    <col min="2" max="3" width="18" style="146"/>
    <col min="4" max="10" width="18" style="147"/>
    <col min="11" max="12" width="18" style="149"/>
    <col min="13" max="14" width="18" style="148"/>
    <col min="15" max="16384" width="18" style="116"/>
  </cols>
  <sheetData>
    <row r="1" spans="2:33 16044:16044" x14ac:dyDescent="0.2">
      <c r="K1" s="147"/>
      <c r="M1" s="149"/>
      <c r="O1" s="148"/>
    </row>
    <row r="2" spans="2:33 16044:16044" ht="44.25" x14ac:dyDescent="0.2">
      <c r="B2" s="352" t="s">
        <v>103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</row>
    <row r="3" spans="2:33 16044:16044" ht="44.25" x14ac:dyDescent="0.2">
      <c r="B3" s="352" t="s">
        <v>4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</row>
    <row r="4" spans="2:33 16044:16044" x14ac:dyDescent="0.2">
      <c r="K4" s="147"/>
      <c r="M4" s="149"/>
      <c r="O4" s="148"/>
    </row>
    <row r="5" spans="2:33 16044:16044" s="119" customFormat="1" ht="24.95" customHeight="1" x14ac:dyDescent="0.25">
      <c r="B5" s="117" t="s">
        <v>26</v>
      </c>
      <c r="C5" s="117"/>
      <c r="D5" s="118"/>
      <c r="K5" s="119" t="s">
        <v>24</v>
      </c>
      <c r="L5" s="350"/>
      <c r="M5" s="350"/>
      <c r="N5" s="120"/>
      <c r="O5" s="121"/>
      <c r="S5" s="179"/>
      <c r="T5" s="179"/>
      <c r="U5" s="179"/>
    </row>
    <row r="6" spans="2:33 16044:16044" s="123" customFormat="1" ht="31.35" customHeight="1" x14ac:dyDescent="0.25">
      <c r="B6" s="122" t="s">
        <v>25</v>
      </c>
      <c r="C6" s="122" t="e">
        <f>#REF!</f>
        <v>#REF!</v>
      </c>
      <c r="K6" s="119" t="s">
        <v>97</v>
      </c>
      <c r="O6" s="124"/>
    </row>
    <row r="7" spans="2:33 16044:16044" s="123" customFormat="1" ht="25.35" customHeight="1" x14ac:dyDescent="0.25">
      <c r="B7" s="125" t="s">
        <v>23</v>
      </c>
      <c r="C7" s="126"/>
      <c r="K7" s="119" t="s">
        <v>22</v>
      </c>
      <c r="L7" s="119" t="e">
        <f>#REF!</f>
        <v>#REF!</v>
      </c>
    </row>
    <row r="8" spans="2:33 16044:16044" ht="62.25" customHeight="1" thickBot="1" x14ac:dyDescent="0.25">
      <c r="B8" s="351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</row>
    <row r="9" spans="2:33 16044:16044" s="130" customFormat="1" ht="63.75" customHeight="1" thickBot="1" x14ac:dyDescent="0.25">
      <c r="B9" s="127" t="s">
        <v>0</v>
      </c>
      <c r="C9" s="127" t="s">
        <v>21</v>
      </c>
      <c r="D9" s="128" t="s">
        <v>1</v>
      </c>
      <c r="E9" s="128" t="s">
        <v>5</v>
      </c>
      <c r="F9" s="128" t="s">
        <v>98</v>
      </c>
      <c r="G9" s="128" t="s">
        <v>99</v>
      </c>
      <c r="H9" s="128" t="s">
        <v>100</v>
      </c>
      <c r="I9" s="128" t="s">
        <v>101</v>
      </c>
      <c r="J9" s="128" t="s">
        <v>102</v>
      </c>
      <c r="K9" s="127" t="s">
        <v>9</v>
      </c>
      <c r="L9" s="127" t="s">
        <v>8</v>
      </c>
      <c r="M9" s="127" t="s">
        <v>3</v>
      </c>
      <c r="N9" s="129" t="s">
        <v>6</v>
      </c>
      <c r="O9" s="129" t="s">
        <v>96</v>
      </c>
      <c r="Q9" s="181" t="str">
        <f>Table1345[[#Headers],[Column1]]</f>
        <v>Column1</v>
      </c>
      <c r="R9" s="181" t="str">
        <f>Table1345[[#Headers],[Column2]]</f>
        <v>Column2</v>
      </c>
      <c r="S9" s="181" t="str">
        <f>Table1345[[#Headers],[Column3]]</f>
        <v>Column3</v>
      </c>
      <c r="T9" s="181" t="str">
        <f>Table1345[[#Headers],[Column4]]</f>
        <v>Column4</v>
      </c>
      <c r="U9" s="181" t="str">
        <f>Table1345[[#Headers],[Column5]]</f>
        <v>Column5</v>
      </c>
      <c r="AB9" s="131"/>
      <c r="AC9" s="131"/>
      <c r="AD9" s="131"/>
      <c r="AE9" s="131"/>
      <c r="AF9" s="131"/>
      <c r="AG9" s="131"/>
      <c r="WSB9" s="132"/>
    </row>
    <row r="10" spans="2:33 16044:16044" s="139" customFormat="1" ht="18" x14ac:dyDescent="0.2">
      <c r="B10" s="133" t="e">
        <f>#REF!</f>
        <v>#REF!</v>
      </c>
      <c r="C10" s="133" t="e">
        <f>#REF!</f>
        <v>#REF!</v>
      </c>
      <c r="D10" s="134" t="e">
        <f>PROPER(#REF!)</f>
        <v>#REF!</v>
      </c>
      <c r="E10" s="134" t="e">
        <f>PROPER(#REF!)</f>
        <v>#REF!</v>
      </c>
      <c r="F10" s="135" t="e">
        <f>VLOOKUP(Table1345[[#This Row],[R No.]],'sheet 1'!#REF!,7,FALSE)</f>
        <v>#REF!</v>
      </c>
      <c r="G10" s="135" t="e">
        <f>VLOOKUP(Table1345[[#This Row],[R No.]],'sheet 1'!#REF!,11,FALSE)</f>
        <v>#REF!</v>
      </c>
      <c r="H10" s="135" t="e">
        <f>VLOOKUP(Table1345[[#This Row],[R No.]],'sheet 1'!#REF!,15,FALSE)</f>
        <v>#REF!</v>
      </c>
      <c r="I10" s="135" t="e">
        <f>VLOOKUP(Table1345[[#This Row],[R No.]],'sheet 1'!#REF!,19,FALSE)</f>
        <v>#REF!</v>
      </c>
      <c r="J10" s="135" t="e">
        <f>VLOOKUP(Table1345[[#This Row],[R No.]],'sheet 1'!#REF!,23,FALSE)</f>
        <v>#REF!</v>
      </c>
      <c r="K10" s="182" t="e">
        <f>VLOOKUP(Table1345[[#This Row],[R No.]],'sheet 1'!#REF!,38,FALSE)</f>
        <v>#REF!</v>
      </c>
      <c r="L10" s="137" t="e">
        <f>IF(K10&gt;3.99,"A",IF(K10&gt;3.49,"B+",IF(K10&gt;2.99,"B",IF(K10&gt;2.49,"C+",IF(K10&gt;1.99,"C",IF(K10&gt;1.49,"D+",IF(K10&gt;0.99,"D","F")))))))</f>
        <v>#REF!</v>
      </c>
      <c r="M10" s="133" t="e">
        <f t="shared" ref="M10:M73" si="0">IF(K10&gt;3.99,"Excellent",IF(K10&gt;3.49,"Very Good",IF(K10&gt;2.99,"Good",IF(K10&gt;2.49,"Fair",IF(K10&gt;1.99,"Fair",IF(K10&gt;1.49,"Pass (Probation)",IF(K10&gt;0.99,"Pass (Probation)","Fail")))))))</f>
        <v>#REF!</v>
      </c>
      <c r="N10" s="182" t="e">
        <f>VLOOKUP(Table1345[[#This Row],[R No.]],'sheet 1'!#REF!,41,FALSE)</f>
        <v>#REF!</v>
      </c>
      <c r="O10" s="138" t="e">
        <f t="shared" ref="O10:O73" si="1">V10</f>
        <v>#REF!</v>
      </c>
      <c r="Q10" s="123" t="e">
        <f t="shared" ref="Q10:Q41" si="2">IF(F10="F",$F$9,"")</f>
        <v>#REF!</v>
      </c>
      <c r="R10" s="123" t="e">
        <f t="shared" ref="R10:R41" si="3">IF(G10="F",$G$9,"")</f>
        <v>#REF!</v>
      </c>
      <c r="S10" s="123" t="e">
        <f t="shared" ref="S10:S41" si="4">IF(H10="F",$H$9,"")</f>
        <v>#REF!</v>
      </c>
      <c r="T10" s="123" t="e">
        <f t="shared" ref="T10:T41" si="5">IF(I10="F",$I$9,"")</f>
        <v>#REF!</v>
      </c>
      <c r="U10" s="123" t="e">
        <f t="shared" ref="U10:U41" si="6">IF(J10="F",$J$9,"")</f>
        <v>#REF!</v>
      </c>
      <c r="V10" s="140" t="e">
        <f>CONCATENATE(Q10,CHAR(10),R10,CHAR(10),S10,CHAR(10),T10,CHAR(10),U10,CHAR(10),)</f>
        <v>#REF!</v>
      </c>
      <c r="WSB10" s="116"/>
    </row>
    <row r="11" spans="2:33 16044:16044" ht="18" x14ac:dyDescent="0.2">
      <c r="B11" s="141" t="e">
        <f>#REF!</f>
        <v>#REF!</v>
      </c>
      <c r="C11" s="141" t="e">
        <f>#REF!</f>
        <v>#REF!</v>
      </c>
      <c r="D11" s="142" t="e">
        <f>PROPER(#REF!)</f>
        <v>#REF!</v>
      </c>
      <c r="E11" s="142" t="e">
        <f>PROPER(#REF!)</f>
        <v>#REF!</v>
      </c>
      <c r="F11" s="135" t="e">
        <f>VLOOKUP(Table1345[[#This Row],[R No.]],'sheet 1'!#REF!,7,FALSE)</f>
        <v>#REF!</v>
      </c>
      <c r="G11" s="135" t="e">
        <f>VLOOKUP(Table1345[[#This Row],[R No.]],'sheet 1'!#REF!,11,FALSE)</f>
        <v>#REF!</v>
      </c>
      <c r="H11" s="135" t="e">
        <f>VLOOKUP(Table1345[[#This Row],[R No.]],'sheet 1'!#REF!,15,FALSE)</f>
        <v>#REF!</v>
      </c>
      <c r="I11" s="135" t="e">
        <f>VLOOKUP(Table1345[[#This Row],[R No.]],'sheet 1'!#REF!,19,FALSE)</f>
        <v>#REF!</v>
      </c>
      <c r="J11" s="135" t="e">
        <f>VLOOKUP(Table1345[[#This Row],[R No.]],'sheet 1'!#REF!,23,FALSE)</f>
        <v>#REF!</v>
      </c>
      <c r="K11" s="136" t="e">
        <f>VLOOKUP(Table1345[[#This Row],[R No.]],'sheet 1'!#REF!,38,FALSE)</f>
        <v>#REF!</v>
      </c>
      <c r="L11" s="143" t="e">
        <f>IF(K11&gt;3.99,"A",IF(K11&gt;3.49,"B+",IF(K11&gt;2.99,"B",IF(K11&gt;2.49,"C+",IF(K11&gt;1.99,"C",IF(K11&gt;1.49,"D+",IF(K11&gt;0.99,"D","F")))))))</f>
        <v>#REF!</v>
      </c>
      <c r="M11" s="141" t="e">
        <f t="shared" si="0"/>
        <v>#REF!</v>
      </c>
      <c r="N11" s="182" t="e">
        <f>VLOOKUP(Table1345[[#This Row],[R No.]],'sheet 1'!#REF!,41,FALSE)</f>
        <v>#REF!</v>
      </c>
      <c r="O11" s="138" t="e">
        <f t="shared" si="1"/>
        <v>#REF!</v>
      </c>
      <c r="Q11" s="123" t="e">
        <f t="shared" si="2"/>
        <v>#REF!</v>
      </c>
      <c r="R11" s="123" t="e">
        <f t="shared" si="3"/>
        <v>#REF!</v>
      </c>
      <c r="S11" s="123" t="e">
        <f t="shared" si="4"/>
        <v>#REF!</v>
      </c>
      <c r="T11" s="123" t="e">
        <f t="shared" si="5"/>
        <v>#REF!</v>
      </c>
      <c r="U11" s="123" t="e">
        <f t="shared" si="6"/>
        <v>#REF!</v>
      </c>
      <c r="V11" s="140" t="e">
        <f t="shared" ref="V11:V74" si="7">CONCATENATE(Q11,CHAR(10),R11,CHAR(10),S11,CHAR(10),T11,CHAR(10),U11,CHAR(10),)</f>
        <v>#REF!</v>
      </c>
    </row>
    <row r="12" spans="2:33 16044:16044" ht="18" x14ac:dyDescent="0.2">
      <c r="B12" s="141" t="e">
        <f>#REF!</f>
        <v>#REF!</v>
      </c>
      <c r="C12" s="141" t="e">
        <f>#REF!</f>
        <v>#REF!</v>
      </c>
      <c r="D12" s="142" t="e">
        <f>PROPER(#REF!)</f>
        <v>#REF!</v>
      </c>
      <c r="E12" s="142" t="e">
        <f>PROPER(#REF!)</f>
        <v>#REF!</v>
      </c>
      <c r="F12" s="135" t="e">
        <f>VLOOKUP(Table1345[[#This Row],[R No.]],'sheet 1'!#REF!,7,FALSE)</f>
        <v>#REF!</v>
      </c>
      <c r="G12" s="135" t="e">
        <f>VLOOKUP(Table1345[[#This Row],[R No.]],'sheet 1'!#REF!,11,FALSE)</f>
        <v>#REF!</v>
      </c>
      <c r="H12" s="135" t="e">
        <f>VLOOKUP(Table1345[[#This Row],[R No.]],'sheet 1'!#REF!,15,FALSE)</f>
        <v>#REF!</v>
      </c>
      <c r="I12" s="135" t="e">
        <f>VLOOKUP(Table1345[[#This Row],[R No.]],'sheet 1'!#REF!,19,FALSE)</f>
        <v>#REF!</v>
      </c>
      <c r="J12" s="135" t="e">
        <f>VLOOKUP(Table1345[[#This Row],[R No.]],'sheet 1'!#REF!,23,FALSE)</f>
        <v>#REF!</v>
      </c>
      <c r="K12" s="136" t="e">
        <f>VLOOKUP(Table1345[[#This Row],[R No.]],'sheet 1'!#REF!,38,FALSE)</f>
        <v>#REF!</v>
      </c>
      <c r="L12" s="143" t="e">
        <f t="shared" ref="L12:L52" si="8">IF(K12&gt;3.99,"A",IF(K12&gt;3.49,"B+",IF(K12&gt;2.99,"B",IF(K12&gt;2.49,"C+",IF(K12&gt;1.99,"C",IF(K12&gt;1.49,"D+",IF(K12&gt;0.99,"D","F")))))))</f>
        <v>#REF!</v>
      </c>
      <c r="M12" s="141" t="e">
        <f t="shared" si="0"/>
        <v>#REF!</v>
      </c>
      <c r="N12" s="182" t="e">
        <f>VLOOKUP(Table1345[[#This Row],[R No.]],'sheet 1'!#REF!,41,FALSE)</f>
        <v>#REF!</v>
      </c>
      <c r="O12" s="138" t="e">
        <f t="shared" si="1"/>
        <v>#REF!</v>
      </c>
      <c r="Q12" s="123" t="e">
        <f t="shared" si="2"/>
        <v>#REF!</v>
      </c>
      <c r="R12" s="123" t="e">
        <f t="shared" si="3"/>
        <v>#REF!</v>
      </c>
      <c r="S12" s="123" t="e">
        <f t="shared" si="4"/>
        <v>#REF!</v>
      </c>
      <c r="T12" s="123" t="e">
        <f t="shared" si="5"/>
        <v>#REF!</v>
      </c>
      <c r="U12" s="123" t="e">
        <f t="shared" si="6"/>
        <v>#REF!</v>
      </c>
      <c r="V12" s="140" t="e">
        <f t="shared" si="7"/>
        <v>#REF!</v>
      </c>
    </row>
    <row r="13" spans="2:33 16044:16044" ht="18" x14ac:dyDescent="0.2">
      <c r="B13" s="141" t="e">
        <f>#REF!</f>
        <v>#REF!</v>
      </c>
      <c r="C13" s="141" t="e">
        <f>#REF!</f>
        <v>#REF!</v>
      </c>
      <c r="D13" s="142" t="e">
        <f>PROPER(#REF!)</f>
        <v>#REF!</v>
      </c>
      <c r="E13" s="142" t="e">
        <f>PROPER(#REF!)</f>
        <v>#REF!</v>
      </c>
      <c r="F13" s="135" t="e">
        <f>VLOOKUP(Table1345[[#This Row],[R No.]],'sheet 1'!#REF!,7,FALSE)</f>
        <v>#REF!</v>
      </c>
      <c r="G13" s="135" t="e">
        <f>VLOOKUP(Table1345[[#This Row],[R No.]],'sheet 1'!#REF!,11,FALSE)</f>
        <v>#REF!</v>
      </c>
      <c r="H13" s="135" t="e">
        <f>VLOOKUP(Table1345[[#This Row],[R No.]],'sheet 1'!#REF!,15,FALSE)</f>
        <v>#REF!</v>
      </c>
      <c r="I13" s="135" t="e">
        <f>VLOOKUP(Table1345[[#This Row],[R No.]],'sheet 1'!#REF!,19,FALSE)</f>
        <v>#REF!</v>
      </c>
      <c r="J13" s="135" t="e">
        <f>VLOOKUP(Table1345[[#This Row],[R No.]],'sheet 1'!#REF!,23,FALSE)</f>
        <v>#REF!</v>
      </c>
      <c r="K13" s="136" t="e">
        <f>VLOOKUP(Table1345[[#This Row],[R No.]],'sheet 1'!#REF!,38,FALSE)</f>
        <v>#REF!</v>
      </c>
      <c r="L13" s="143" t="e">
        <f t="shared" si="8"/>
        <v>#REF!</v>
      </c>
      <c r="M13" s="141" t="e">
        <f t="shared" si="0"/>
        <v>#REF!</v>
      </c>
      <c r="N13" s="182" t="e">
        <f>VLOOKUP(Table1345[[#This Row],[R No.]],'sheet 1'!#REF!,41,FALSE)</f>
        <v>#REF!</v>
      </c>
      <c r="O13" s="138" t="e">
        <f t="shared" si="1"/>
        <v>#REF!</v>
      </c>
      <c r="Q13" s="123" t="e">
        <f t="shared" si="2"/>
        <v>#REF!</v>
      </c>
      <c r="R13" s="123" t="e">
        <f t="shared" si="3"/>
        <v>#REF!</v>
      </c>
      <c r="S13" s="123" t="e">
        <f t="shared" si="4"/>
        <v>#REF!</v>
      </c>
      <c r="T13" s="123" t="e">
        <f t="shared" si="5"/>
        <v>#REF!</v>
      </c>
      <c r="U13" s="123" t="e">
        <f t="shared" si="6"/>
        <v>#REF!</v>
      </c>
      <c r="V13" s="140" t="e">
        <f t="shared" si="7"/>
        <v>#REF!</v>
      </c>
      <c r="WSB13" s="144"/>
    </row>
    <row r="14" spans="2:33 16044:16044" ht="18" x14ac:dyDescent="0.2">
      <c r="B14" s="141" t="e">
        <f>#REF!</f>
        <v>#REF!</v>
      </c>
      <c r="C14" s="141" t="e">
        <f>#REF!</f>
        <v>#REF!</v>
      </c>
      <c r="D14" s="142" t="e">
        <f>PROPER(#REF!)</f>
        <v>#REF!</v>
      </c>
      <c r="E14" s="142" t="e">
        <f>PROPER(#REF!)</f>
        <v>#REF!</v>
      </c>
      <c r="F14" s="135" t="e">
        <f>VLOOKUP(Table1345[[#This Row],[R No.]],'sheet 1'!#REF!,7,FALSE)</f>
        <v>#REF!</v>
      </c>
      <c r="G14" s="135" t="e">
        <f>VLOOKUP(Table1345[[#This Row],[R No.]],'sheet 1'!#REF!,11,FALSE)</f>
        <v>#REF!</v>
      </c>
      <c r="H14" s="135" t="e">
        <f>VLOOKUP(Table1345[[#This Row],[R No.]],'sheet 1'!#REF!,15,FALSE)</f>
        <v>#REF!</v>
      </c>
      <c r="I14" s="135" t="e">
        <f>VLOOKUP(Table1345[[#This Row],[R No.]],'sheet 1'!#REF!,19,FALSE)</f>
        <v>#REF!</v>
      </c>
      <c r="J14" s="135" t="e">
        <f>VLOOKUP(Table1345[[#This Row],[R No.]],'sheet 1'!#REF!,23,FALSE)</f>
        <v>#REF!</v>
      </c>
      <c r="K14" s="136" t="e">
        <f>VLOOKUP(Table1345[[#This Row],[R No.]],'sheet 1'!#REF!,38,FALSE)</f>
        <v>#REF!</v>
      </c>
      <c r="L14" s="143" t="e">
        <f t="shared" si="8"/>
        <v>#REF!</v>
      </c>
      <c r="M14" s="141" t="e">
        <f t="shared" si="0"/>
        <v>#REF!</v>
      </c>
      <c r="N14" s="182" t="e">
        <f>VLOOKUP(Table1345[[#This Row],[R No.]],'sheet 1'!#REF!,41,FALSE)</f>
        <v>#REF!</v>
      </c>
      <c r="O14" s="138" t="e">
        <f t="shared" si="1"/>
        <v>#REF!</v>
      </c>
      <c r="Q14" s="123" t="e">
        <f t="shared" si="2"/>
        <v>#REF!</v>
      </c>
      <c r="R14" s="123" t="e">
        <f t="shared" si="3"/>
        <v>#REF!</v>
      </c>
      <c r="S14" s="123" t="e">
        <f t="shared" si="4"/>
        <v>#REF!</v>
      </c>
      <c r="T14" s="123" t="e">
        <f t="shared" si="5"/>
        <v>#REF!</v>
      </c>
      <c r="U14" s="123" t="e">
        <f t="shared" si="6"/>
        <v>#REF!</v>
      </c>
      <c r="V14" s="140" t="e">
        <f t="shared" si="7"/>
        <v>#REF!</v>
      </c>
    </row>
    <row r="15" spans="2:33 16044:16044" ht="18" x14ac:dyDescent="0.2">
      <c r="B15" s="141" t="e">
        <f>#REF!</f>
        <v>#REF!</v>
      </c>
      <c r="C15" s="141" t="e">
        <f>#REF!</f>
        <v>#REF!</v>
      </c>
      <c r="D15" s="142" t="e">
        <f>PROPER(#REF!)</f>
        <v>#REF!</v>
      </c>
      <c r="E15" s="142" t="e">
        <f>PROPER(#REF!)</f>
        <v>#REF!</v>
      </c>
      <c r="F15" s="135" t="e">
        <f>VLOOKUP(Table1345[[#This Row],[R No.]],'sheet 1'!#REF!,7,FALSE)</f>
        <v>#REF!</v>
      </c>
      <c r="G15" s="135" t="e">
        <f>VLOOKUP(Table1345[[#This Row],[R No.]],'sheet 1'!#REF!,11,FALSE)</f>
        <v>#REF!</v>
      </c>
      <c r="H15" s="135" t="e">
        <f>VLOOKUP(Table1345[[#This Row],[R No.]],'sheet 1'!#REF!,15,FALSE)</f>
        <v>#REF!</v>
      </c>
      <c r="I15" s="135" t="e">
        <f>VLOOKUP(Table1345[[#This Row],[R No.]],'sheet 1'!#REF!,19,FALSE)</f>
        <v>#REF!</v>
      </c>
      <c r="J15" s="135" t="e">
        <f>VLOOKUP(Table1345[[#This Row],[R No.]],'sheet 1'!#REF!,23,FALSE)</f>
        <v>#REF!</v>
      </c>
      <c r="K15" s="136" t="e">
        <f>VLOOKUP(Table1345[[#This Row],[R No.]],'sheet 1'!#REF!,38,FALSE)</f>
        <v>#REF!</v>
      </c>
      <c r="L15" s="143" t="e">
        <f t="shared" si="8"/>
        <v>#REF!</v>
      </c>
      <c r="M15" s="141" t="e">
        <f t="shared" si="0"/>
        <v>#REF!</v>
      </c>
      <c r="N15" s="182" t="e">
        <f>VLOOKUP(Table1345[[#This Row],[R No.]],'sheet 1'!#REF!,41,FALSE)</f>
        <v>#REF!</v>
      </c>
      <c r="O15" s="138" t="e">
        <f t="shared" si="1"/>
        <v>#REF!</v>
      </c>
      <c r="Q15" s="123" t="e">
        <f t="shared" si="2"/>
        <v>#REF!</v>
      </c>
      <c r="R15" s="123" t="e">
        <f t="shared" si="3"/>
        <v>#REF!</v>
      </c>
      <c r="S15" s="123" t="e">
        <f t="shared" si="4"/>
        <v>#REF!</v>
      </c>
      <c r="T15" s="123" t="e">
        <f t="shared" si="5"/>
        <v>#REF!</v>
      </c>
      <c r="U15" s="123" t="e">
        <f t="shared" si="6"/>
        <v>#REF!</v>
      </c>
      <c r="V15" s="140" t="e">
        <f t="shared" si="7"/>
        <v>#REF!</v>
      </c>
    </row>
    <row r="16" spans="2:33 16044:16044" ht="18" x14ac:dyDescent="0.2">
      <c r="B16" s="141" t="e">
        <f>#REF!</f>
        <v>#REF!</v>
      </c>
      <c r="C16" s="141" t="e">
        <f>#REF!</f>
        <v>#REF!</v>
      </c>
      <c r="D16" s="142" t="e">
        <f>PROPER(#REF!)</f>
        <v>#REF!</v>
      </c>
      <c r="E16" s="142" t="e">
        <f>PROPER(#REF!)</f>
        <v>#REF!</v>
      </c>
      <c r="F16" s="135" t="e">
        <f>VLOOKUP(Table1345[[#This Row],[R No.]],'sheet 1'!#REF!,7,FALSE)</f>
        <v>#REF!</v>
      </c>
      <c r="G16" s="135" t="e">
        <f>VLOOKUP(Table1345[[#This Row],[R No.]],'sheet 1'!#REF!,11,FALSE)</f>
        <v>#REF!</v>
      </c>
      <c r="H16" s="135" t="e">
        <f>VLOOKUP(Table1345[[#This Row],[R No.]],'sheet 1'!#REF!,15,FALSE)</f>
        <v>#REF!</v>
      </c>
      <c r="I16" s="135" t="e">
        <f>VLOOKUP(Table1345[[#This Row],[R No.]],'sheet 1'!#REF!,19,FALSE)</f>
        <v>#REF!</v>
      </c>
      <c r="J16" s="135" t="e">
        <f>VLOOKUP(Table1345[[#This Row],[R No.]],'sheet 1'!#REF!,23,FALSE)</f>
        <v>#REF!</v>
      </c>
      <c r="K16" s="136" t="e">
        <f>VLOOKUP(Table1345[[#This Row],[R No.]],'sheet 1'!#REF!,38,FALSE)</f>
        <v>#REF!</v>
      </c>
      <c r="L16" s="143" t="e">
        <f t="shared" si="8"/>
        <v>#REF!</v>
      </c>
      <c r="M16" s="141" t="e">
        <f t="shared" si="0"/>
        <v>#REF!</v>
      </c>
      <c r="N16" s="182" t="e">
        <f>VLOOKUP(Table1345[[#This Row],[R No.]],'sheet 1'!#REF!,41,FALSE)</f>
        <v>#REF!</v>
      </c>
      <c r="O16" s="138" t="e">
        <f t="shared" si="1"/>
        <v>#REF!</v>
      </c>
      <c r="Q16" s="123" t="e">
        <f t="shared" si="2"/>
        <v>#REF!</v>
      </c>
      <c r="R16" s="123" t="e">
        <f t="shared" si="3"/>
        <v>#REF!</v>
      </c>
      <c r="S16" s="123" t="e">
        <f t="shared" si="4"/>
        <v>#REF!</v>
      </c>
      <c r="T16" s="123" t="e">
        <f t="shared" si="5"/>
        <v>#REF!</v>
      </c>
      <c r="U16" s="123" t="e">
        <f t="shared" si="6"/>
        <v>#REF!</v>
      </c>
      <c r="V16" s="140" t="e">
        <f t="shared" si="7"/>
        <v>#REF!</v>
      </c>
      <c r="WSB16" s="144"/>
    </row>
    <row r="17" spans="2:22 16044:16044" ht="18" x14ac:dyDescent="0.2">
      <c r="B17" s="141" t="e">
        <f>#REF!</f>
        <v>#REF!</v>
      </c>
      <c r="C17" s="141" t="e">
        <f>#REF!</f>
        <v>#REF!</v>
      </c>
      <c r="D17" s="142" t="e">
        <f>PROPER(#REF!)</f>
        <v>#REF!</v>
      </c>
      <c r="E17" s="142" t="e">
        <f>PROPER(#REF!)</f>
        <v>#REF!</v>
      </c>
      <c r="F17" s="135" t="e">
        <f>VLOOKUP(Table1345[[#This Row],[R No.]],'sheet 1'!#REF!,7,FALSE)</f>
        <v>#REF!</v>
      </c>
      <c r="G17" s="135" t="e">
        <f>VLOOKUP(Table1345[[#This Row],[R No.]],'sheet 1'!#REF!,11,FALSE)</f>
        <v>#REF!</v>
      </c>
      <c r="H17" s="135" t="e">
        <f>VLOOKUP(Table1345[[#This Row],[R No.]],'sheet 1'!#REF!,15,FALSE)</f>
        <v>#REF!</v>
      </c>
      <c r="I17" s="135" t="e">
        <f>VLOOKUP(Table1345[[#This Row],[R No.]],'sheet 1'!#REF!,19,FALSE)</f>
        <v>#REF!</v>
      </c>
      <c r="J17" s="135" t="e">
        <f>VLOOKUP(Table1345[[#This Row],[R No.]],'sheet 1'!#REF!,23,FALSE)</f>
        <v>#REF!</v>
      </c>
      <c r="K17" s="136" t="e">
        <f>VLOOKUP(Table1345[[#This Row],[R No.]],'sheet 1'!#REF!,38,FALSE)</f>
        <v>#REF!</v>
      </c>
      <c r="L17" s="143" t="e">
        <f t="shared" si="8"/>
        <v>#REF!</v>
      </c>
      <c r="M17" s="141" t="e">
        <f t="shared" si="0"/>
        <v>#REF!</v>
      </c>
      <c r="N17" s="182" t="e">
        <f>VLOOKUP(Table1345[[#This Row],[R No.]],'sheet 1'!#REF!,41,FALSE)</f>
        <v>#REF!</v>
      </c>
      <c r="O17" s="138" t="e">
        <f t="shared" si="1"/>
        <v>#REF!</v>
      </c>
      <c r="Q17" s="123" t="e">
        <f t="shared" si="2"/>
        <v>#REF!</v>
      </c>
      <c r="R17" s="123" t="e">
        <f t="shared" si="3"/>
        <v>#REF!</v>
      </c>
      <c r="S17" s="123" t="e">
        <f t="shared" si="4"/>
        <v>#REF!</v>
      </c>
      <c r="T17" s="123" t="e">
        <f t="shared" si="5"/>
        <v>#REF!</v>
      </c>
      <c r="U17" s="123" t="e">
        <f t="shared" si="6"/>
        <v>#REF!</v>
      </c>
      <c r="V17" s="140" t="e">
        <f t="shared" si="7"/>
        <v>#REF!</v>
      </c>
    </row>
    <row r="18" spans="2:22 16044:16044" ht="18" x14ac:dyDescent="0.2">
      <c r="B18" s="141" t="e">
        <f>#REF!</f>
        <v>#REF!</v>
      </c>
      <c r="C18" s="141" t="e">
        <f>#REF!</f>
        <v>#REF!</v>
      </c>
      <c r="D18" s="142" t="e">
        <f>PROPER(#REF!)</f>
        <v>#REF!</v>
      </c>
      <c r="E18" s="142" t="e">
        <f>PROPER(#REF!)</f>
        <v>#REF!</v>
      </c>
      <c r="F18" s="135" t="e">
        <f>VLOOKUP(Table1345[[#This Row],[R No.]],'sheet 1'!#REF!,7,FALSE)</f>
        <v>#REF!</v>
      </c>
      <c r="G18" s="135" t="e">
        <f>VLOOKUP(Table1345[[#This Row],[R No.]],'sheet 1'!#REF!,11,FALSE)</f>
        <v>#REF!</v>
      </c>
      <c r="H18" s="135" t="e">
        <f>VLOOKUP(Table1345[[#This Row],[R No.]],'sheet 1'!#REF!,15,FALSE)</f>
        <v>#REF!</v>
      </c>
      <c r="I18" s="135" t="e">
        <f>VLOOKUP(Table1345[[#This Row],[R No.]],'sheet 1'!#REF!,19,FALSE)</f>
        <v>#REF!</v>
      </c>
      <c r="J18" s="135" t="e">
        <f>VLOOKUP(Table1345[[#This Row],[R No.]],'sheet 1'!#REF!,23,FALSE)</f>
        <v>#REF!</v>
      </c>
      <c r="K18" s="136" t="e">
        <f>VLOOKUP(Table1345[[#This Row],[R No.]],'sheet 1'!#REF!,38,FALSE)</f>
        <v>#REF!</v>
      </c>
      <c r="L18" s="143" t="e">
        <f t="shared" si="8"/>
        <v>#REF!</v>
      </c>
      <c r="M18" s="141" t="e">
        <f t="shared" si="0"/>
        <v>#REF!</v>
      </c>
      <c r="N18" s="182" t="e">
        <f>VLOOKUP(Table1345[[#This Row],[R No.]],'sheet 1'!#REF!,41,FALSE)</f>
        <v>#REF!</v>
      </c>
      <c r="O18" s="138" t="e">
        <f t="shared" si="1"/>
        <v>#REF!</v>
      </c>
      <c r="Q18" s="123" t="e">
        <f t="shared" si="2"/>
        <v>#REF!</v>
      </c>
      <c r="R18" s="123" t="e">
        <f t="shared" si="3"/>
        <v>#REF!</v>
      </c>
      <c r="S18" s="123" t="e">
        <f t="shared" si="4"/>
        <v>#REF!</v>
      </c>
      <c r="T18" s="123" t="e">
        <f t="shared" si="5"/>
        <v>#REF!</v>
      </c>
      <c r="U18" s="123" t="e">
        <f t="shared" si="6"/>
        <v>#REF!</v>
      </c>
      <c r="V18" s="140" t="e">
        <f t="shared" si="7"/>
        <v>#REF!</v>
      </c>
    </row>
    <row r="19" spans="2:22 16044:16044" ht="18" x14ac:dyDescent="0.2">
      <c r="B19" s="141" t="e">
        <f>#REF!</f>
        <v>#REF!</v>
      </c>
      <c r="C19" s="141" t="e">
        <f>#REF!</f>
        <v>#REF!</v>
      </c>
      <c r="D19" s="142" t="e">
        <f>PROPER(#REF!)</f>
        <v>#REF!</v>
      </c>
      <c r="E19" s="142" t="e">
        <f>PROPER(#REF!)</f>
        <v>#REF!</v>
      </c>
      <c r="F19" s="135" t="e">
        <f>VLOOKUP(Table1345[[#This Row],[R No.]],'sheet 1'!#REF!,7,FALSE)</f>
        <v>#REF!</v>
      </c>
      <c r="G19" s="135" t="e">
        <f>VLOOKUP(Table1345[[#This Row],[R No.]],'sheet 1'!#REF!,11,FALSE)</f>
        <v>#REF!</v>
      </c>
      <c r="H19" s="135" t="e">
        <f>VLOOKUP(Table1345[[#This Row],[R No.]],'sheet 1'!#REF!,15,FALSE)</f>
        <v>#REF!</v>
      </c>
      <c r="I19" s="135" t="e">
        <f>VLOOKUP(Table1345[[#This Row],[R No.]],'sheet 1'!#REF!,19,FALSE)</f>
        <v>#REF!</v>
      </c>
      <c r="J19" s="135" t="e">
        <f>VLOOKUP(Table1345[[#This Row],[R No.]],'sheet 1'!#REF!,23,FALSE)</f>
        <v>#REF!</v>
      </c>
      <c r="K19" s="136" t="e">
        <f>VLOOKUP(Table1345[[#This Row],[R No.]],'sheet 1'!#REF!,38,FALSE)</f>
        <v>#REF!</v>
      </c>
      <c r="L19" s="143" t="e">
        <f t="shared" si="8"/>
        <v>#REF!</v>
      </c>
      <c r="M19" s="141" t="e">
        <f t="shared" si="0"/>
        <v>#REF!</v>
      </c>
      <c r="N19" s="182" t="e">
        <f>VLOOKUP(Table1345[[#This Row],[R No.]],'sheet 1'!#REF!,41,FALSE)</f>
        <v>#REF!</v>
      </c>
      <c r="O19" s="138" t="e">
        <f t="shared" si="1"/>
        <v>#REF!</v>
      </c>
      <c r="Q19" s="123" t="e">
        <f t="shared" si="2"/>
        <v>#REF!</v>
      </c>
      <c r="R19" s="123" t="e">
        <f t="shared" si="3"/>
        <v>#REF!</v>
      </c>
      <c r="S19" s="123" t="e">
        <f t="shared" si="4"/>
        <v>#REF!</v>
      </c>
      <c r="T19" s="123" t="e">
        <f t="shared" si="5"/>
        <v>#REF!</v>
      </c>
      <c r="U19" s="123" t="e">
        <f t="shared" si="6"/>
        <v>#REF!</v>
      </c>
      <c r="V19" s="140" t="e">
        <f t="shared" si="7"/>
        <v>#REF!</v>
      </c>
      <c r="WSB19" s="144"/>
    </row>
    <row r="20" spans="2:22 16044:16044" ht="18" x14ac:dyDescent="0.2">
      <c r="B20" s="141" t="e">
        <f>#REF!</f>
        <v>#REF!</v>
      </c>
      <c r="C20" s="141" t="e">
        <f>#REF!</f>
        <v>#REF!</v>
      </c>
      <c r="D20" s="142" t="e">
        <f>PROPER(#REF!)</f>
        <v>#REF!</v>
      </c>
      <c r="E20" s="142" t="e">
        <f>PROPER(#REF!)</f>
        <v>#REF!</v>
      </c>
      <c r="F20" s="135" t="e">
        <f>VLOOKUP(Table1345[[#This Row],[R No.]],'sheet 1'!#REF!,7,FALSE)</f>
        <v>#REF!</v>
      </c>
      <c r="G20" s="135" t="e">
        <f>VLOOKUP(Table1345[[#This Row],[R No.]],'sheet 1'!#REF!,11,FALSE)</f>
        <v>#REF!</v>
      </c>
      <c r="H20" s="135" t="e">
        <f>VLOOKUP(Table1345[[#This Row],[R No.]],'sheet 1'!#REF!,15,FALSE)</f>
        <v>#REF!</v>
      </c>
      <c r="I20" s="135" t="e">
        <f>VLOOKUP(Table1345[[#This Row],[R No.]],'sheet 1'!#REF!,19,FALSE)</f>
        <v>#REF!</v>
      </c>
      <c r="J20" s="135" t="e">
        <f>VLOOKUP(Table1345[[#This Row],[R No.]],'sheet 1'!#REF!,23,FALSE)</f>
        <v>#REF!</v>
      </c>
      <c r="K20" s="136" t="e">
        <f>VLOOKUP(Table1345[[#This Row],[R No.]],'sheet 1'!#REF!,38,FALSE)</f>
        <v>#REF!</v>
      </c>
      <c r="L20" s="143" t="e">
        <f t="shared" si="8"/>
        <v>#REF!</v>
      </c>
      <c r="M20" s="141" t="e">
        <f t="shared" si="0"/>
        <v>#REF!</v>
      </c>
      <c r="N20" s="182" t="e">
        <f>VLOOKUP(Table1345[[#This Row],[R No.]],'sheet 1'!#REF!,41,FALSE)</f>
        <v>#REF!</v>
      </c>
      <c r="O20" s="138" t="e">
        <f t="shared" si="1"/>
        <v>#REF!</v>
      </c>
      <c r="Q20" s="123" t="e">
        <f t="shared" si="2"/>
        <v>#REF!</v>
      </c>
      <c r="R20" s="123" t="e">
        <f t="shared" si="3"/>
        <v>#REF!</v>
      </c>
      <c r="S20" s="123" t="e">
        <f t="shared" si="4"/>
        <v>#REF!</v>
      </c>
      <c r="T20" s="123" t="e">
        <f t="shared" si="5"/>
        <v>#REF!</v>
      </c>
      <c r="U20" s="123" t="e">
        <f t="shared" si="6"/>
        <v>#REF!</v>
      </c>
      <c r="V20" s="140" t="e">
        <f t="shared" si="7"/>
        <v>#REF!</v>
      </c>
    </row>
    <row r="21" spans="2:22 16044:16044" ht="18" x14ac:dyDescent="0.2">
      <c r="B21" s="141" t="e">
        <f>#REF!</f>
        <v>#REF!</v>
      </c>
      <c r="C21" s="141" t="e">
        <f>#REF!</f>
        <v>#REF!</v>
      </c>
      <c r="D21" s="142" t="e">
        <f>PROPER(#REF!)</f>
        <v>#REF!</v>
      </c>
      <c r="E21" s="142" t="e">
        <f>PROPER(#REF!)</f>
        <v>#REF!</v>
      </c>
      <c r="F21" s="135" t="e">
        <f>VLOOKUP(Table1345[[#This Row],[R No.]],'sheet 1'!#REF!,7,FALSE)</f>
        <v>#REF!</v>
      </c>
      <c r="G21" s="135" t="e">
        <f>VLOOKUP(Table1345[[#This Row],[R No.]],'sheet 1'!#REF!,11,FALSE)</f>
        <v>#REF!</v>
      </c>
      <c r="H21" s="135" t="e">
        <f>VLOOKUP(Table1345[[#This Row],[R No.]],'sheet 1'!#REF!,15,FALSE)</f>
        <v>#REF!</v>
      </c>
      <c r="I21" s="135" t="e">
        <f>VLOOKUP(Table1345[[#This Row],[R No.]],'sheet 1'!#REF!,19,FALSE)</f>
        <v>#REF!</v>
      </c>
      <c r="J21" s="135" t="e">
        <f>VLOOKUP(Table1345[[#This Row],[R No.]],'sheet 1'!#REF!,23,FALSE)</f>
        <v>#REF!</v>
      </c>
      <c r="K21" s="136" t="e">
        <f>VLOOKUP(Table1345[[#This Row],[R No.]],'sheet 1'!#REF!,38,FALSE)</f>
        <v>#REF!</v>
      </c>
      <c r="L21" s="143" t="e">
        <f t="shared" si="8"/>
        <v>#REF!</v>
      </c>
      <c r="M21" s="141" t="e">
        <f t="shared" si="0"/>
        <v>#REF!</v>
      </c>
      <c r="N21" s="182" t="e">
        <f>VLOOKUP(Table1345[[#This Row],[R No.]],'sheet 1'!#REF!,41,FALSE)</f>
        <v>#REF!</v>
      </c>
      <c r="O21" s="138" t="e">
        <f t="shared" si="1"/>
        <v>#REF!</v>
      </c>
      <c r="Q21" s="123" t="e">
        <f t="shared" si="2"/>
        <v>#REF!</v>
      </c>
      <c r="R21" s="123" t="e">
        <f t="shared" si="3"/>
        <v>#REF!</v>
      </c>
      <c r="S21" s="123" t="e">
        <f t="shared" si="4"/>
        <v>#REF!</v>
      </c>
      <c r="T21" s="123" t="e">
        <f t="shared" si="5"/>
        <v>#REF!</v>
      </c>
      <c r="U21" s="123" t="e">
        <f t="shared" si="6"/>
        <v>#REF!</v>
      </c>
      <c r="V21" s="140" t="e">
        <f t="shared" si="7"/>
        <v>#REF!</v>
      </c>
    </row>
    <row r="22" spans="2:22 16044:16044" ht="18" x14ac:dyDescent="0.2">
      <c r="B22" s="141" t="e">
        <f>#REF!</f>
        <v>#REF!</v>
      </c>
      <c r="C22" s="141" t="e">
        <f>#REF!</f>
        <v>#REF!</v>
      </c>
      <c r="D22" s="142" t="e">
        <f>PROPER(#REF!)</f>
        <v>#REF!</v>
      </c>
      <c r="E22" s="142" t="e">
        <f>PROPER(#REF!)</f>
        <v>#REF!</v>
      </c>
      <c r="F22" s="135" t="e">
        <f>VLOOKUP(Table1345[[#This Row],[R No.]],'sheet 1'!#REF!,7,FALSE)</f>
        <v>#REF!</v>
      </c>
      <c r="G22" s="135" t="e">
        <f>VLOOKUP(Table1345[[#This Row],[R No.]],'sheet 1'!#REF!,11,FALSE)</f>
        <v>#REF!</v>
      </c>
      <c r="H22" s="135" t="e">
        <f>VLOOKUP(Table1345[[#This Row],[R No.]],'sheet 1'!#REF!,15,FALSE)</f>
        <v>#REF!</v>
      </c>
      <c r="I22" s="135" t="e">
        <f>VLOOKUP(Table1345[[#This Row],[R No.]],'sheet 1'!#REF!,19,FALSE)</f>
        <v>#REF!</v>
      </c>
      <c r="J22" s="135" t="e">
        <f>VLOOKUP(Table1345[[#This Row],[R No.]],'sheet 1'!#REF!,23,FALSE)</f>
        <v>#REF!</v>
      </c>
      <c r="K22" s="136" t="e">
        <f>VLOOKUP(Table1345[[#This Row],[R No.]],'sheet 1'!#REF!,38,FALSE)</f>
        <v>#REF!</v>
      </c>
      <c r="L22" s="143" t="e">
        <f t="shared" si="8"/>
        <v>#REF!</v>
      </c>
      <c r="M22" s="141" t="e">
        <f t="shared" si="0"/>
        <v>#REF!</v>
      </c>
      <c r="N22" s="182" t="e">
        <f>VLOOKUP(Table1345[[#This Row],[R No.]],'sheet 1'!#REF!,41,FALSE)</f>
        <v>#REF!</v>
      </c>
      <c r="O22" s="138" t="e">
        <f t="shared" si="1"/>
        <v>#REF!</v>
      </c>
      <c r="Q22" s="123" t="e">
        <f t="shared" si="2"/>
        <v>#REF!</v>
      </c>
      <c r="R22" s="123" t="e">
        <f t="shared" si="3"/>
        <v>#REF!</v>
      </c>
      <c r="S22" s="123" t="e">
        <f t="shared" si="4"/>
        <v>#REF!</v>
      </c>
      <c r="T22" s="123" t="e">
        <f t="shared" si="5"/>
        <v>#REF!</v>
      </c>
      <c r="U22" s="123" t="e">
        <f t="shared" si="6"/>
        <v>#REF!</v>
      </c>
      <c r="V22" s="140" t="e">
        <f t="shared" si="7"/>
        <v>#REF!</v>
      </c>
    </row>
    <row r="23" spans="2:22 16044:16044" ht="18" x14ac:dyDescent="0.2">
      <c r="B23" s="141" t="e">
        <f>#REF!</f>
        <v>#REF!</v>
      </c>
      <c r="C23" s="141" t="e">
        <f>#REF!</f>
        <v>#REF!</v>
      </c>
      <c r="D23" s="142" t="e">
        <f>PROPER(#REF!)</f>
        <v>#REF!</v>
      </c>
      <c r="E23" s="142" t="e">
        <f>PROPER(#REF!)</f>
        <v>#REF!</v>
      </c>
      <c r="F23" s="135" t="e">
        <f>VLOOKUP(Table1345[[#This Row],[R No.]],'sheet 1'!#REF!,7,FALSE)</f>
        <v>#REF!</v>
      </c>
      <c r="G23" s="135" t="e">
        <f>VLOOKUP(Table1345[[#This Row],[R No.]],'sheet 1'!#REF!,11,FALSE)</f>
        <v>#REF!</v>
      </c>
      <c r="H23" s="135" t="e">
        <f>VLOOKUP(Table1345[[#This Row],[R No.]],'sheet 1'!#REF!,15,FALSE)</f>
        <v>#REF!</v>
      </c>
      <c r="I23" s="135" t="e">
        <f>VLOOKUP(Table1345[[#This Row],[R No.]],'sheet 1'!#REF!,19,FALSE)</f>
        <v>#REF!</v>
      </c>
      <c r="J23" s="135" t="e">
        <f>VLOOKUP(Table1345[[#This Row],[R No.]],'sheet 1'!#REF!,23,FALSE)</f>
        <v>#REF!</v>
      </c>
      <c r="K23" s="136" t="e">
        <f>VLOOKUP(Table1345[[#This Row],[R No.]],'sheet 1'!#REF!,38,FALSE)</f>
        <v>#REF!</v>
      </c>
      <c r="L23" s="143" t="e">
        <f t="shared" si="8"/>
        <v>#REF!</v>
      </c>
      <c r="M23" s="141" t="e">
        <f t="shared" si="0"/>
        <v>#REF!</v>
      </c>
      <c r="N23" s="182" t="e">
        <f>VLOOKUP(Table1345[[#This Row],[R No.]],'sheet 1'!#REF!,41,FALSE)</f>
        <v>#REF!</v>
      </c>
      <c r="O23" s="138" t="e">
        <f t="shared" si="1"/>
        <v>#REF!</v>
      </c>
      <c r="Q23" s="123" t="e">
        <f t="shared" si="2"/>
        <v>#REF!</v>
      </c>
      <c r="R23" s="123" t="e">
        <f t="shared" si="3"/>
        <v>#REF!</v>
      </c>
      <c r="S23" s="123" t="e">
        <f t="shared" si="4"/>
        <v>#REF!</v>
      </c>
      <c r="T23" s="123" t="e">
        <f t="shared" si="5"/>
        <v>#REF!</v>
      </c>
      <c r="U23" s="123" t="e">
        <f t="shared" si="6"/>
        <v>#REF!</v>
      </c>
      <c r="V23" s="140" t="e">
        <f t="shared" si="7"/>
        <v>#REF!</v>
      </c>
    </row>
    <row r="24" spans="2:22 16044:16044" ht="18" x14ac:dyDescent="0.2">
      <c r="B24" s="141" t="e">
        <f>#REF!</f>
        <v>#REF!</v>
      </c>
      <c r="C24" s="141" t="e">
        <f>#REF!</f>
        <v>#REF!</v>
      </c>
      <c r="D24" s="142" t="e">
        <f>PROPER(#REF!)</f>
        <v>#REF!</v>
      </c>
      <c r="E24" s="142" t="e">
        <f>PROPER(#REF!)</f>
        <v>#REF!</v>
      </c>
      <c r="F24" s="135" t="e">
        <f>VLOOKUP(Table1345[[#This Row],[R No.]],'sheet 1'!#REF!,7,FALSE)</f>
        <v>#REF!</v>
      </c>
      <c r="G24" s="135" t="e">
        <f>VLOOKUP(Table1345[[#This Row],[R No.]],'sheet 1'!#REF!,11,FALSE)</f>
        <v>#REF!</v>
      </c>
      <c r="H24" s="135" t="e">
        <f>VLOOKUP(Table1345[[#This Row],[R No.]],'sheet 1'!#REF!,15,FALSE)</f>
        <v>#REF!</v>
      </c>
      <c r="I24" s="135" t="e">
        <f>VLOOKUP(Table1345[[#This Row],[R No.]],'sheet 1'!#REF!,19,FALSE)</f>
        <v>#REF!</v>
      </c>
      <c r="J24" s="135" t="e">
        <f>VLOOKUP(Table1345[[#This Row],[R No.]],'sheet 1'!#REF!,23,FALSE)</f>
        <v>#REF!</v>
      </c>
      <c r="K24" s="136" t="e">
        <f>VLOOKUP(Table1345[[#This Row],[R No.]],'sheet 1'!#REF!,38,FALSE)</f>
        <v>#REF!</v>
      </c>
      <c r="L24" s="143" t="e">
        <f t="shared" si="8"/>
        <v>#REF!</v>
      </c>
      <c r="M24" s="141" t="e">
        <f t="shared" si="0"/>
        <v>#REF!</v>
      </c>
      <c r="N24" s="182" t="e">
        <f>VLOOKUP(Table1345[[#This Row],[R No.]],'sheet 1'!#REF!,41,FALSE)</f>
        <v>#REF!</v>
      </c>
      <c r="O24" s="138" t="e">
        <f t="shared" si="1"/>
        <v>#REF!</v>
      </c>
      <c r="Q24" s="123" t="e">
        <f t="shared" si="2"/>
        <v>#REF!</v>
      </c>
      <c r="R24" s="123" t="e">
        <f t="shared" si="3"/>
        <v>#REF!</v>
      </c>
      <c r="S24" s="123" t="e">
        <f t="shared" si="4"/>
        <v>#REF!</v>
      </c>
      <c r="T24" s="123" t="e">
        <f t="shared" si="5"/>
        <v>#REF!</v>
      </c>
      <c r="U24" s="123" t="e">
        <f t="shared" si="6"/>
        <v>#REF!</v>
      </c>
      <c r="V24" s="140" t="e">
        <f t="shared" si="7"/>
        <v>#REF!</v>
      </c>
    </row>
    <row r="25" spans="2:22 16044:16044" ht="18" x14ac:dyDescent="0.2">
      <c r="B25" s="141" t="e">
        <f>#REF!</f>
        <v>#REF!</v>
      </c>
      <c r="C25" s="141" t="e">
        <f>#REF!</f>
        <v>#REF!</v>
      </c>
      <c r="D25" s="142" t="e">
        <f>PROPER(#REF!)</f>
        <v>#REF!</v>
      </c>
      <c r="E25" s="142" t="e">
        <f>PROPER(#REF!)</f>
        <v>#REF!</v>
      </c>
      <c r="F25" s="135" t="e">
        <f>VLOOKUP(Table1345[[#This Row],[R No.]],'sheet 1'!#REF!,7,FALSE)</f>
        <v>#REF!</v>
      </c>
      <c r="G25" s="135" t="e">
        <f>VLOOKUP(Table1345[[#This Row],[R No.]],'sheet 1'!#REF!,11,FALSE)</f>
        <v>#REF!</v>
      </c>
      <c r="H25" s="135" t="e">
        <f>VLOOKUP(Table1345[[#This Row],[R No.]],'sheet 1'!#REF!,15,FALSE)</f>
        <v>#REF!</v>
      </c>
      <c r="I25" s="135" t="e">
        <f>VLOOKUP(Table1345[[#This Row],[R No.]],'sheet 1'!#REF!,19,FALSE)</f>
        <v>#REF!</v>
      </c>
      <c r="J25" s="135" t="e">
        <f>VLOOKUP(Table1345[[#This Row],[R No.]],'sheet 1'!#REF!,23,FALSE)</f>
        <v>#REF!</v>
      </c>
      <c r="K25" s="136" t="e">
        <f>VLOOKUP(Table1345[[#This Row],[R No.]],'sheet 1'!#REF!,38,FALSE)</f>
        <v>#REF!</v>
      </c>
      <c r="L25" s="143" t="e">
        <f t="shared" si="8"/>
        <v>#REF!</v>
      </c>
      <c r="M25" s="141" t="e">
        <f t="shared" si="0"/>
        <v>#REF!</v>
      </c>
      <c r="N25" s="182" t="e">
        <f>VLOOKUP(Table1345[[#This Row],[R No.]],'sheet 1'!#REF!,41,FALSE)</f>
        <v>#REF!</v>
      </c>
      <c r="O25" s="138" t="e">
        <f t="shared" si="1"/>
        <v>#REF!</v>
      </c>
      <c r="Q25" s="123" t="e">
        <f t="shared" si="2"/>
        <v>#REF!</v>
      </c>
      <c r="R25" s="123" t="e">
        <f t="shared" si="3"/>
        <v>#REF!</v>
      </c>
      <c r="S25" s="123" t="e">
        <f t="shared" si="4"/>
        <v>#REF!</v>
      </c>
      <c r="T25" s="123" t="e">
        <f t="shared" si="5"/>
        <v>#REF!</v>
      </c>
      <c r="U25" s="123" t="e">
        <f t="shared" si="6"/>
        <v>#REF!</v>
      </c>
      <c r="V25" s="140" t="e">
        <f t="shared" si="7"/>
        <v>#REF!</v>
      </c>
    </row>
    <row r="26" spans="2:22 16044:16044" ht="18" x14ac:dyDescent="0.2">
      <c r="B26" s="141" t="e">
        <f>#REF!</f>
        <v>#REF!</v>
      </c>
      <c r="C26" s="141" t="e">
        <f>#REF!</f>
        <v>#REF!</v>
      </c>
      <c r="D26" s="142" t="e">
        <f>PROPER(#REF!)</f>
        <v>#REF!</v>
      </c>
      <c r="E26" s="142" t="e">
        <f>PROPER(#REF!)</f>
        <v>#REF!</v>
      </c>
      <c r="F26" s="135" t="e">
        <f>VLOOKUP(Table1345[[#This Row],[R No.]],'sheet 1'!#REF!,7,FALSE)</f>
        <v>#REF!</v>
      </c>
      <c r="G26" s="135" t="e">
        <f>VLOOKUP(Table1345[[#This Row],[R No.]],'sheet 1'!#REF!,11,FALSE)</f>
        <v>#REF!</v>
      </c>
      <c r="H26" s="135" t="e">
        <f>VLOOKUP(Table1345[[#This Row],[R No.]],'sheet 1'!#REF!,15,FALSE)</f>
        <v>#REF!</v>
      </c>
      <c r="I26" s="135" t="e">
        <f>VLOOKUP(Table1345[[#This Row],[R No.]],'sheet 1'!#REF!,19,FALSE)</f>
        <v>#REF!</v>
      </c>
      <c r="J26" s="135" t="e">
        <f>VLOOKUP(Table1345[[#This Row],[R No.]],'sheet 1'!#REF!,23,FALSE)</f>
        <v>#REF!</v>
      </c>
      <c r="K26" s="136" t="e">
        <f>VLOOKUP(Table1345[[#This Row],[R No.]],'sheet 1'!#REF!,38,FALSE)</f>
        <v>#REF!</v>
      </c>
      <c r="L26" s="143" t="e">
        <f t="shared" si="8"/>
        <v>#REF!</v>
      </c>
      <c r="M26" s="141" t="e">
        <f t="shared" si="0"/>
        <v>#REF!</v>
      </c>
      <c r="N26" s="182" t="e">
        <f>VLOOKUP(Table1345[[#This Row],[R No.]],'sheet 1'!#REF!,41,FALSE)</f>
        <v>#REF!</v>
      </c>
      <c r="O26" s="138" t="e">
        <f t="shared" si="1"/>
        <v>#REF!</v>
      </c>
      <c r="Q26" s="123" t="e">
        <f t="shared" si="2"/>
        <v>#REF!</v>
      </c>
      <c r="R26" s="123" t="e">
        <f t="shared" si="3"/>
        <v>#REF!</v>
      </c>
      <c r="S26" s="123" t="e">
        <f t="shared" si="4"/>
        <v>#REF!</v>
      </c>
      <c r="T26" s="123" t="e">
        <f t="shared" si="5"/>
        <v>#REF!</v>
      </c>
      <c r="U26" s="123" t="e">
        <f t="shared" si="6"/>
        <v>#REF!</v>
      </c>
      <c r="V26" s="140" t="e">
        <f t="shared" si="7"/>
        <v>#REF!</v>
      </c>
    </row>
    <row r="27" spans="2:22 16044:16044" ht="18" x14ac:dyDescent="0.2">
      <c r="B27" s="141" t="e">
        <f>#REF!</f>
        <v>#REF!</v>
      </c>
      <c r="C27" s="141" t="e">
        <f>#REF!</f>
        <v>#REF!</v>
      </c>
      <c r="D27" s="142" t="e">
        <f>PROPER(#REF!)</f>
        <v>#REF!</v>
      </c>
      <c r="E27" s="142" t="e">
        <f>PROPER(#REF!)</f>
        <v>#REF!</v>
      </c>
      <c r="F27" s="135" t="e">
        <f>VLOOKUP(Table1345[[#This Row],[R No.]],'sheet 1'!#REF!,7,FALSE)</f>
        <v>#REF!</v>
      </c>
      <c r="G27" s="135" t="e">
        <f>VLOOKUP(Table1345[[#This Row],[R No.]],'sheet 1'!#REF!,11,FALSE)</f>
        <v>#REF!</v>
      </c>
      <c r="H27" s="135" t="e">
        <f>VLOOKUP(Table1345[[#This Row],[R No.]],'sheet 1'!#REF!,15,FALSE)</f>
        <v>#REF!</v>
      </c>
      <c r="I27" s="135" t="e">
        <f>VLOOKUP(Table1345[[#This Row],[R No.]],'sheet 1'!#REF!,19,FALSE)</f>
        <v>#REF!</v>
      </c>
      <c r="J27" s="135" t="e">
        <f>VLOOKUP(Table1345[[#This Row],[R No.]],'sheet 1'!#REF!,23,FALSE)</f>
        <v>#REF!</v>
      </c>
      <c r="K27" s="136" t="e">
        <f>VLOOKUP(Table1345[[#This Row],[R No.]],'sheet 1'!#REF!,38,FALSE)</f>
        <v>#REF!</v>
      </c>
      <c r="L27" s="143" t="e">
        <f t="shared" si="8"/>
        <v>#REF!</v>
      </c>
      <c r="M27" s="141" t="e">
        <f t="shared" si="0"/>
        <v>#REF!</v>
      </c>
      <c r="N27" s="182" t="e">
        <f>VLOOKUP(Table1345[[#This Row],[R No.]],'sheet 1'!#REF!,41,FALSE)</f>
        <v>#REF!</v>
      </c>
      <c r="O27" s="138" t="e">
        <f t="shared" si="1"/>
        <v>#REF!</v>
      </c>
      <c r="Q27" s="123" t="e">
        <f t="shared" si="2"/>
        <v>#REF!</v>
      </c>
      <c r="R27" s="123" t="e">
        <f t="shared" si="3"/>
        <v>#REF!</v>
      </c>
      <c r="S27" s="123" t="e">
        <f t="shared" si="4"/>
        <v>#REF!</v>
      </c>
      <c r="T27" s="123" t="e">
        <f t="shared" si="5"/>
        <v>#REF!</v>
      </c>
      <c r="U27" s="123" t="e">
        <f t="shared" si="6"/>
        <v>#REF!</v>
      </c>
      <c r="V27" s="140" t="e">
        <f t="shared" si="7"/>
        <v>#REF!</v>
      </c>
    </row>
    <row r="28" spans="2:22 16044:16044" ht="18" x14ac:dyDescent="0.2">
      <c r="B28" s="141" t="e">
        <f>#REF!</f>
        <v>#REF!</v>
      </c>
      <c r="C28" s="141" t="e">
        <f>#REF!</f>
        <v>#REF!</v>
      </c>
      <c r="D28" s="142" t="e">
        <f>PROPER(#REF!)</f>
        <v>#REF!</v>
      </c>
      <c r="E28" s="142" t="e">
        <f>PROPER(#REF!)</f>
        <v>#REF!</v>
      </c>
      <c r="F28" s="135" t="e">
        <f>VLOOKUP(Table1345[[#This Row],[R No.]],'sheet 1'!#REF!,7,FALSE)</f>
        <v>#REF!</v>
      </c>
      <c r="G28" s="135" t="e">
        <f>VLOOKUP(Table1345[[#This Row],[R No.]],'sheet 1'!#REF!,11,FALSE)</f>
        <v>#REF!</v>
      </c>
      <c r="H28" s="135" t="e">
        <f>VLOOKUP(Table1345[[#This Row],[R No.]],'sheet 1'!#REF!,15,FALSE)</f>
        <v>#REF!</v>
      </c>
      <c r="I28" s="135" t="e">
        <f>VLOOKUP(Table1345[[#This Row],[R No.]],'sheet 1'!#REF!,19,FALSE)</f>
        <v>#REF!</v>
      </c>
      <c r="J28" s="135" t="e">
        <f>VLOOKUP(Table1345[[#This Row],[R No.]],'sheet 1'!#REF!,23,FALSE)</f>
        <v>#REF!</v>
      </c>
      <c r="K28" s="136" t="e">
        <f>VLOOKUP(Table1345[[#This Row],[R No.]],'sheet 1'!#REF!,38,FALSE)</f>
        <v>#REF!</v>
      </c>
      <c r="L28" s="143" t="e">
        <f t="shared" si="8"/>
        <v>#REF!</v>
      </c>
      <c r="M28" s="141" t="e">
        <f t="shared" si="0"/>
        <v>#REF!</v>
      </c>
      <c r="N28" s="182" t="e">
        <f>VLOOKUP(Table1345[[#This Row],[R No.]],'sheet 1'!#REF!,41,FALSE)</f>
        <v>#REF!</v>
      </c>
      <c r="O28" s="138" t="e">
        <f t="shared" si="1"/>
        <v>#REF!</v>
      </c>
      <c r="Q28" s="123" t="e">
        <f t="shared" si="2"/>
        <v>#REF!</v>
      </c>
      <c r="R28" s="123" t="e">
        <f t="shared" si="3"/>
        <v>#REF!</v>
      </c>
      <c r="S28" s="123" t="e">
        <f t="shared" si="4"/>
        <v>#REF!</v>
      </c>
      <c r="T28" s="123" t="e">
        <f t="shared" si="5"/>
        <v>#REF!</v>
      </c>
      <c r="U28" s="123" t="e">
        <f t="shared" si="6"/>
        <v>#REF!</v>
      </c>
      <c r="V28" s="140" t="e">
        <f t="shared" si="7"/>
        <v>#REF!</v>
      </c>
    </row>
    <row r="29" spans="2:22 16044:16044" ht="18" x14ac:dyDescent="0.2">
      <c r="B29" s="141" t="e">
        <f>#REF!</f>
        <v>#REF!</v>
      </c>
      <c r="C29" s="141" t="e">
        <f>#REF!</f>
        <v>#REF!</v>
      </c>
      <c r="D29" s="142" t="e">
        <f>PROPER(#REF!)</f>
        <v>#REF!</v>
      </c>
      <c r="E29" s="142" t="e">
        <f>PROPER(#REF!)</f>
        <v>#REF!</v>
      </c>
      <c r="F29" s="135" t="e">
        <f>VLOOKUP(Table1345[[#This Row],[R No.]],'sheet 1'!#REF!,7,FALSE)</f>
        <v>#REF!</v>
      </c>
      <c r="G29" s="135" t="e">
        <f>VLOOKUP(Table1345[[#This Row],[R No.]],'sheet 1'!#REF!,11,FALSE)</f>
        <v>#REF!</v>
      </c>
      <c r="H29" s="135" t="e">
        <f>VLOOKUP(Table1345[[#This Row],[R No.]],'sheet 1'!#REF!,15,FALSE)</f>
        <v>#REF!</v>
      </c>
      <c r="I29" s="135" t="e">
        <f>VLOOKUP(Table1345[[#This Row],[R No.]],'sheet 1'!#REF!,19,FALSE)</f>
        <v>#REF!</v>
      </c>
      <c r="J29" s="135" t="e">
        <f>VLOOKUP(Table1345[[#This Row],[R No.]],'sheet 1'!#REF!,23,FALSE)</f>
        <v>#REF!</v>
      </c>
      <c r="K29" s="136" t="e">
        <f>VLOOKUP(Table1345[[#This Row],[R No.]],'sheet 1'!#REF!,38,FALSE)</f>
        <v>#REF!</v>
      </c>
      <c r="L29" s="143" t="e">
        <f t="shared" si="8"/>
        <v>#REF!</v>
      </c>
      <c r="M29" s="141" t="e">
        <f t="shared" si="0"/>
        <v>#REF!</v>
      </c>
      <c r="N29" s="182" t="e">
        <f>VLOOKUP(Table1345[[#This Row],[R No.]],'sheet 1'!#REF!,41,FALSE)</f>
        <v>#REF!</v>
      </c>
      <c r="O29" s="138" t="e">
        <f t="shared" si="1"/>
        <v>#REF!</v>
      </c>
      <c r="Q29" s="123" t="e">
        <f t="shared" si="2"/>
        <v>#REF!</v>
      </c>
      <c r="R29" s="123" t="e">
        <f t="shared" si="3"/>
        <v>#REF!</v>
      </c>
      <c r="S29" s="123" t="e">
        <f t="shared" si="4"/>
        <v>#REF!</v>
      </c>
      <c r="T29" s="123" t="e">
        <f t="shared" si="5"/>
        <v>#REF!</v>
      </c>
      <c r="U29" s="123" t="e">
        <f t="shared" si="6"/>
        <v>#REF!</v>
      </c>
      <c r="V29" s="140" t="e">
        <f t="shared" si="7"/>
        <v>#REF!</v>
      </c>
    </row>
    <row r="30" spans="2:22 16044:16044" ht="18" x14ac:dyDescent="0.2">
      <c r="B30" s="141" t="e">
        <f>#REF!</f>
        <v>#REF!</v>
      </c>
      <c r="C30" s="141" t="e">
        <f>#REF!</f>
        <v>#REF!</v>
      </c>
      <c r="D30" s="142" t="e">
        <f>PROPER(#REF!)</f>
        <v>#REF!</v>
      </c>
      <c r="E30" s="142" t="e">
        <f>PROPER(#REF!)</f>
        <v>#REF!</v>
      </c>
      <c r="F30" s="135" t="e">
        <f>VLOOKUP(Table1345[[#This Row],[R No.]],'sheet 1'!#REF!,7,FALSE)</f>
        <v>#REF!</v>
      </c>
      <c r="G30" s="135" t="e">
        <f>VLOOKUP(Table1345[[#This Row],[R No.]],'sheet 1'!#REF!,11,FALSE)</f>
        <v>#REF!</v>
      </c>
      <c r="H30" s="135" t="e">
        <f>VLOOKUP(Table1345[[#This Row],[R No.]],'sheet 1'!#REF!,15,FALSE)</f>
        <v>#REF!</v>
      </c>
      <c r="I30" s="135" t="e">
        <f>VLOOKUP(Table1345[[#This Row],[R No.]],'sheet 1'!#REF!,19,FALSE)</f>
        <v>#REF!</v>
      </c>
      <c r="J30" s="135" t="e">
        <f>VLOOKUP(Table1345[[#This Row],[R No.]],'sheet 1'!#REF!,23,FALSE)</f>
        <v>#REF!</v>
      </c>
      <c r="K30" s="136" t="e">
        <f>VLOOKUP(Table1345[[#This Row],[R No.]],'sheet 1'!#REF!,38,FALSE)</f>
        <v>#REF!</v>
      </c>
      <c r="L30" s="143" t="e">
        <f t="shared" si="8"/>
        <v>#REF!</v>
      </c>
      <c r="M30" s="141" t="e">
        <f t="shared" si="0"/>
        <v>#REF!</v>
      </c>
      <c r="N30" s="182" t="e">
        <f>VLOOKUP(Table1345[[#This Row],[R No.]],'sheet 1'!#REF!,41,FALSE)</f>
        <v>#REF!</v>
      </c>
      <c r="O30" s="138" t="e">
        <f t="shared" si="1"/>
        <v>#REF!</v>
      </c>
      <c r="Q30" s="123" t="e">
        <f t="shared" si="2"/>
        <v>#REF!</v>
      </c>
      <c r="R30" s="123" t="e">
        <f t="shared" si="3"/>
        <v>#REF!</v>
      </c>
      <c r="S30" s="123" t="e">
        <f t="shared" si="4"/>
        <v>#REF!</v>
      </c>
      <c r="T30" s="123" t="e">
        <f t="shared" si="5"/>
        <v>#REF!</v>
      </c>
      <c r="U30" s="123" t="e">
        <f t="shared" si="6"/>
        <v>#REF!</v>
      </c>
      <c r="V30" s="140" t="e">
        <f t="shared" si="7"/>
        <v>#REF!</v>
      </c>
    </row>
    <row r="31" spans="2:22 16044:16044" ht="18" x14ac:dyDescent="0.2">
      <c r="B31" s="141" t="e">
        <f>#REF!</f>
        <v>#REF!</v>
      </c>
      <c r="C31" s="141" t="e">
        <f>#REF!</f>
        <v>#REF!</v>
      </c>
      <c r="D31" s="142" t="e">
        <f>PROPER(#REF!)</f>
        <v>#REF!</v>
      </c>
      <c r="E31" s="142" t="e">
        <f>PROPER(#REF!)</f>
        <v>#REF!</v>
      </c>
      <c r="F31" s="135" t="e">
        <f>VLOOKUP(Table1345[[#This Row],[R No.]],'sheet 1'!#REF!,7,FALSE)</f>
        <v>#REF!</v>
      </c>
      <c r="G31" s="135" t="e">
        <f>VLOOKUP(Table1345[[#This Row],[R No.]],'sheet 1'!#REF!,11,FALSE)</f>
        <v>#REF!</v>
      </c>
      <c r="H31" s="135" t="e">
        <f>VLOOKUP(Table1345[[#This Row],[R No.]],'sheet 1'!#REF!,15,FALSE)</f>
        <v>#REF!</v>
      </c>
      <c r="I31" s="135" t="e">
        <f>VLOOKUP(Table1345[[#This Row],[R No.]],'sheet 1'!#REF!,19,FALSE)</f>
        <v>#REF!</v>
      </c>
      <c r="J31" s="135" t="e">
        <f>VLOOKUP(Table1345[[#This Row],[R No.]],'sheet 1'!#REF!,23,FALSE)</f>
        <v>#REF!</v>
      </c>
      <c r="K31" s="136" t="e">
        <f>VLOOKUP(Table1345[[#This Row],[R No.]],'sheet 1'!#REF!,38,FALSE)</f>
        <v>#REF!</v>
      </c>
      <c r="L31" s="143" t="e">
        <f t="shared" si="8"/>
        <v>#REF!</v>
      </c>
      <c r="M31" s="141" t="e">
        <f t="shared" si="0"/>
        <v>#REF!</v>
      </c>
      <c r="N31" s="182" t="e">
        <f>VLOOKUP(Table1345[[#This Row],[R No.]],'sheet 1'!#REF!,41,FALSE)</f>
        <v>#REF!</v>
      </c>
      <c r="O31" s="138" t="e">
        <f t="shared" si="1"/>
        <v>#REF!</v>
      </c>
      <c r="Q31" s="123" t="e">
        <f t="shared" si="2"/>
        <v>#REF!</v>
      </c>
      <c r="R31" s="123" t="e">
        <f t="shared" si="3"/>
        <v>#REF!</v>
      </c>
      <c r="S31" s="123" t="e">
        <f t="shared" si="4"/>
        <v>#REF!</v>
      </c>
      <c r="T31" s="123" t="e">
        <f t="shared" si="5"/>
        <v>#REF!</v>
      </c>
      <c r="U31" s="123" t="e">
        <f t="shared" si="6"/>
        <v>#REF!</v>
      </c>
      <c r="V31" s="140" t="e">
        <f t="shared" si="7"/>
        <v>#REF!</v>
      </c>
    </row>
    <row r="32" spans="2:22 16044:16044" ht="18" x14ac:dyDescent="0.2">
      <c r="B32" s="141" t="e">
        <f>#REF!</f>
        <v>#REF!</v>
      </c>
      <c r="C32" s="141" t="e">
        <f>#REF!</f>
        <v>#REF!</v>
      </c>
      <c r="D32" s="142" t="e">
        <f>PROPER(#REF!)</f>
        <v>#REF!</v>
      </c>
      <c r="E32" s="142" t="e">
        <f>PROPER(#REF!)</f>
        <v>#REF!</v>
      </c>
      <c r="F32" s="135" t="e">
        <f>VLOOKUP(Table1345[[#This Row],[R No.]],'sheet 1'!#REF!,7,FALSE)</f>
        <v>#REF!</v>
      </c>
      <c r="G32" s="135" t="e">
        <f>VLOOKUP(Table1345[[#This Row],[R No.]],'sheet 1'!#REF!,11,FALSE)</f>
        <v>#REF!</v>
      </c>
      <c r="H32" s="135" t="e">
        <f>VLOOKUP(Table1345[[#This Row],[R No.]],'sheet 1'!#REF!,15,FALSE)</f>
        <v>#REF!</v>
      </c>
      <c r="I32" s="135" t="e">
        <f>VLOOKUP(Table1345[[#This Row],[R No.]],'sheet 1'!#REF!,19,FALSE)</f>
        <v>#REF!</v>
      </c>
      <c r="J32" s="135" t="e">
        <f>VLOOKUP(Table1345[[#This Row],[R No.]],'sheet 1'!#REF!,23,FALSE)</f>
        <v>#REF!</v>
      </c>
      <c r="K32" s="136" t="e">
        <f>VLOOKUP(Table1345[[#This Row],[R No.]],'sheet 1'!#REF!,38,FALSE)</f>
        <v>#REF!</v>
      </c>
      <c r="L32" s="143" t="e">
        <f t="shared" si="8"/>
        <v>#REF!</v>
      </c>
      <c r="M32" s="141" t="e">
        <f t="shared" si="0"/>
        <v>#REF!</v>
      </c>
      <c r="N32" s="182" t="e">
        <f>VLOOKUP(Table1345[[#This Row],[R No.]],'sheet 1'!#REF!,41,FALSE)</f>
        <v>#REF!</v>
      </c>
      <c r="O32" s="138" t="e">
        <f t="shared" si="1"/>
        <v>#REF!</v>
      </c>
      <c r="Q32" s="123" t="e">
        <f t="shared" si="2"/>
        <v>#REF!</v>
      </c>
      <c r="R32" s="123" t="e">
        <f t="shared" si="3"/>
        <v>#REF!</v>
      </c>
      <c r="S32" s="123" t="e">
        <f t="shared" si="4"/>
        <v>#REF!</v>
      </c>
      <c r="T32" s="123" t="e">
        <f t="shared" si="5"/>
        <v>#REF!</v>
      </c>
      <c r="U32" s="123" t="e">
        <f t="shared" si="6"/>
        <v>#REF!</v>
      </c>
      <c r="V32" s="140" t="e">
        <f t="shared" si="7"/>
        <v>#REF!</v>
      </c>
    </row>
    <row r="33" spans="2:22" ht="18" x14ac:dyDescent="0.2">
      <c r="B33" s="141" t="e">
        <f>#REF!</f>
        <v>#REF!</v>
      </c>
      <c r="C33" s="141" t="e">
        <f>#REF!</f>
        <v>#REF!</v>
      </c>
      <c r="D33" s="142" t="e">
        <f>PROPER(#REF!)</f>
        <v>#REF!</v>
      </c>
      <c r="E33" s="142" t="e">
        <f>PROPER(#REF!)</f>
        <v>#REF!</v>
      </c>
      <c r="F33" s="135" t="e">
        <f>VLOOKUP(Table1345[[#This Row],[R No.]],'sheet 1'!#REF!,7,FALSE)</f>
        <v>#REF!</v>
      </c>
      <c r="G33" s="135" t="e">
        <f>VLOOKUP(Table1345[[#This Row],[R No.]],'sheet 1'!#REF!,11,FALSE)</f>
        <v>#REF!</v>
      </c>
      <c r="H33" s="135" t="e">
        <f>VLOOKUP(Table1345[[#This Row],[R No.]],'sheet 1'!#REF!,15,FALSE)</f>
        <v>#REF!</v>
      </c>
      <c r="I33" s="135" t="e">
        <f>VLOOKUP(Table1345[[#This Row],[R No.]],'sheet 1'!#REF!,19,FALSE)</f>
        <v>#REF!</v>
      </c>
      <c r="J33" s="135" t="e">
        <f>VLOOKUP(Table1345[[#This Row],[R No.]],'sheet 1'!#REF!,23,FALSE)</f>
        <v>#REF!</v>
      </c>
      <c r="K33" s="136" t="e">
        <f>VLOOKUP(Table1345[[#This Row],[R No.]],'sheet 1'!#REF!,38,FALSE)</f>
        <v>#REF!</v>
      </c>
      <c r="L33" s="143" t="e">
        <f t="shared" si="8"/>
        <v>#REF!</v>
      </c>
      <c r="M33" s="141" t="e">
        <f t="shared" si="0"/>
        <v>#REF!</v>
      </c>
      <c r="N33" s="182" t="e">
        <f>VLOOKUP(Table1345[[#This Row],[R No.]],'sheet 1'!#REF!,41,FALSE)</f>
        <v>#REF!</v>
      </c>
      <c r="O33" s="138" t="e">
        <f t="shared" si="1"/>
        <v>#REF!</v>
      </c>
      <c r="Q33" s="123" t="e">
        <f t="shared" si="2"/>
        <v>#REF!</v>
      </c>
      <c r="R33" s="123" t="e">
        <f t="shared" si="3"/>
        <v>#REF!</v>
      </c>
      <c r="S33" s="123" t="e">
        <f t="shared" si="4"/>
        <v>#REF!</v>
      </c>
      <c r="T33" s="123" t="e">
        <f t="shared" si="5"/>
        <v>#REF!</v>
      </c>
      <c r="U33" s="123" t="e">
        <f t="shared" si="6"/>
        <v>#REF!</v>
      </c>
      <c r="V33" s="140" t="e">
        <f t="shared" si="7"/>
        <v>#REF!</v>
      </c>
    </row>
    <row r="34" spans="2:22" ht="18" x14ac:dyDescent="0.2">
      <c r="B34" s="141" t="e">
        <f>#REF!</f>
        <v>#REF!</v>
      </c>
      <c r="C34" s="141" t="e">
        <f>#REF!</f>
        <v>#REF!</v>
      </c>
      <c r="D34" s="142" t="e">
        <f>PROPER(#REF!)</f>
        <v>#REF!</v>
      </c>
      <c r="E34" s="142" t="e">
        <f>PROPER(#REF!)</f>
        <v>#REF!</v>
      </c>
      <c r="F34" s="135" t="e">
        <f>VLOOKUP(Table1345[[#This Row],[R No.]],'sheet 1'!#REF!,7,FALSE)</f>
        <v>#REF!</v>
      </c>
      <c r="G34" s="135" t="e">
        <f>VLOOKUP(Table1345[[#This Row],[R No.]],'sheet 1'!#REF!,11,FALSE)</f>
        <v>#REF!</v>
      </c>
      <c r="H34" s="135" t="e">
        <f>VLOOKUP(Table1345[[#This Row],[R No.]],'sheet 1'!#REF!,15,FALSE)</f>
        <v>#REF!</v>
      </c>
      <c r="I34" s="135" t="e">
        <f>VLOOKUP(Table1345[[#This Row],[R No.]],'sheet 1'!#REF!,19,FALSE)</f>
        <v>#REF!</v>
      </c>
      <c r="J34" s="135" t="e">
        <f>VLOOKUP(Table1345[[#This Row],[R No.]],'sheet 1'!#REF!,23,FALSE)</f>
        <v>#REF!</v>
      </c>
      <c r="K34" s="136" t="e">
        <f>VLOOKUP(Table1345[[#This Row],[R No.]],'sheet 1'!#REF!,38,FALSE)</f>
        <v>#REF!</v>
      </c>
      <c r="L34" s="143" t="e">
        <f t="shared" si="8"/>
        <v>#REF!</v>
      </c>
      <c r="M34" s="141" t="e">
        <f t="shared" si="0"/>
        <v>#REF!</v>
      </c>
      <c r="N34" s="182" t="e">
        <f>VLOOKUP(Table1345[[#This Row],[R No.]],'sheet 1'!#REF!,41,FALSE)</f>
        <v>#REF!</v>
      </c>
      <c r="O34" s="138" t="e">
        <f t="shared" si="1"/>
        <v>#REF!</v>
      </c>
      <c r="Q34" s="123" t="e">
        <f t="shared" si="2"/>
        <v>#REF!</v>
      </c>
      <c r="R34" s="123" t="e">
        <f t="shared" si="3"/>
        <v>#REF!</v>
      </c>
      <c r="S34" s="123" t="e">
        <f t="shared" si="4"/>
        <v>#REF!</v>
      </c>
      <c r="T34" s="123" t="e">
        <f t="shared" si="5"/>
        <v>#REF!</v>
      </c>
      <c r="U34" s="123" t="e">
        <f t="shared" si="6"/>
        <v>#REF!</v>
      </c>
      <c r="V34" s="140" t="e">
        <f t="shared" si="7"/>
        <v>#REF!</v>
      </c>
    </row>
    <row r="35" spans="2:22" ht="18" x14ac:dyDescent="0.2">
      <c r="B35" s="141" t="e">
        <f>#REF!</f>
        <v>#REF!</v>
      </c>
      <c r="C35" s="141" t="e">
        <f>#REF!</f>
        <v>#REF!</v>
      </c>
      <c r="D35" s="142" t="e">
        <f>PROPER(#REF!)</f>
        <v>#REF!</v>
      </c>
      <c r="E35" s="142" t="e">
        <f>PROPER(#REF!)</f>
        <v>#REF!</v>
      </c>
      <c r="F35" s="135" t="e">
        <f>VLOOKUP(Table1345[[#This Row],[R No.]],'sheet 1'!#REF!,7,FALSE)</f>
        <v>#REF!</v>
      </c>
      <c r="G35" s="135" t="e">
        <f>VLOOKUP(Table1345[[#This Row],[R No.]],'sheet 1'!#REF!,11,FALSE)</f>
        <v>#REF!</v>
      </c>
      <c r="H35" s="135" t="e">
        <f>VLOOKUP(Table1345[[#This Row],[R No.]],'sheet 1'!#REF!,15,FALSE)</f>
        <v>#REF!</v>
      </c>
      <c r="I35" s="135" t="e">
        <f>VLOOKUP(Table1345[[#This Row],[R No.]],'sheet 1'!#REF!,19,FALSE)</f>
        <v>#REF!</v>
      </c>
      <c r="J35" s="135" t="e">
        <f>VLOOKUP(Table1345[[#This Row],[R No.]],'sheet 1'!#REF!,23,FALSE)</f>
        <v>#REF!</v>
      </c>
      <c r="K35" s="136" t="e">
        <f>VLOOKUP(Table1345[[#This Row],[R No.]],'sheet 1'!#REF!,38,FALSE)</f>
        <v>#REF!</v>
      </c>
      <c r="L35" s="143" t="e">
        <f t="shared" si="8"/>
        <v>#REF!</v>
      </c>
      <c r="M35" s="141" t="e">
        <f t="shared" si="0"/>
        <v>#REF!</v>
      </c>
      <c r="N35" s="182" t="e">
        <f>VLOOKUP(Table1345[[#This Row],[R No.]],'sheet 1'!#REF!,41,FALSE)</f>
        <v>#REF!</v>
      </c>
      <c r="O35" s="138" t="e">
        <f t="shared" si="1"/>
        <v>#REF!</v>
      </c>
      <c r="Q35" s="123" t="e">
        <f t="shared" si="2"/>
        <v>#REF!</v>
      </c>
      <c r="R35" s="123" t="e">
        <f t="shared" si="3"/>
        <v>#REF!</v>
      </c>
      <c r="S35" s="123" t="e">
        <f t="shared" si="4"/>
        <v>#REF!</v>
      </c>
      <c r="T35" s="123" t="e">
        <f t="shared" si="5"/>
        <v>#REF!</v>
      </c>
      <c r="U35" s="123" t="e">
        <f t="shared" si="6"/>
        <v>#REF!</v>
      </c>
      <c r="V35" s="140" t="e">
        <f t="shared" si="7"/>
        <v>#REF!</v>
      </c>
    </row>
    <row r="36" spans="2:22" ht="18" x14ac:dyDescent="0.2">
      <c r="B36" s="141" t="e">
        <f>#REF!</f>
        <v>#REF!</v>
      </c>
      <c r="C36" s="141" t="e">
        <f>#REF!</f>
        <v>#REF!</v>
      </c>
      <c r="D36" s="142" t="e">
        <f>PROPER(#REF!)</f>
        <v>#REF!</v>
      </c>
      <c r="E36" s="142" t="e">
        <f>PROPER(#REF!)</f>
        <v>#REF!</v>
      </c>
      <c r="F36" s="135" t="e">
        <f>VLOOKUP(Table1345[[#This Row],[R No.]],'sheet 1'!#REF!,7,FALSE)</f>
        <v>#REF!</v>
      </c>
      <c r="G36" s="135" t="e">
        <f>VLOOKUP(Table1345[[#This Row],[R No.]],'sheet 1'!#REF!,11,FALSE)</f>
        <v>#REF!</v>
      </c>
      <c r="H36" s="135" t="e">
        <f>VLOOKUP(Table1345[[#This Row],[R No.]],'sheet 1'!#REF!,15,FALSE)</f>
        <v>#REF!</v>
      </c>
      <c r="I36" s="135" t="e">
        <f>VLOOKUP(Table1345[[#This Row],[R No.]],'sheet 1'!#REF!,19,FALSE)</f>
        <v>#REF!</v>
      </c>
      <c r="J36" s="135" t="e">
        <f>VLOOKUP(Table1345[[#This Row],[R No.]],'sheet 1'!#REF!,23,FALSE)</f>
        <v>#REF!</v>
      </c>
      <c r="K36" s="136" t="e">
        <f>VLOOKUP(Table1345[[#This Row],[R No.]],'sheet 1'!#REF!,38,FALSE)</f>
        <v>#REF!</v>
      </c>
      <c r="L36" s="143" t="e">
        <f t="shared" si="8"/>
        <v>#REF!</v>
      </c>
      <c r="M36" s="141" t="e">
        <f t="shared" si="0"/>
        <v>#REF!</v>
      </c>
      <c r="N36" s="182" t="e">
        <f>VLOOKUP(Table1345[[#This Row],[R No.]],'sheet 1'!#REF!,41,FALSE)</f>
        <v>#REF!</v>
      </c>
      <c r="O36" s="138" t="e">
        <f t="shared" si="1"/>
        <v>#REF!</v>
      </c>
      <c r="Q36" s="123" t="e">
        <f t="shared" si="2"/>
        <v>#REF!</v>
      </c>
      <c r="R36" s="123" t="e">
        <f t="shared" si="3"/>
        <v>#REF!</v>
      </c>
      <c r="S36" s="123" t="e">
        <f t="shared" si="4"/>
        <v>#REF!</v>
      </c>
      <c r="T36" s="123" t="e">
        <f t="shared" si="5"/>
        <v>#REF!</v>
      </c>
      <c r="U36" s="123" t="e">
        <f t="shared" si="6"/>
        <v>#REF!</v>
      </c>
      <c r="V36" s="140" t="e">
        <f t="shared" si="7"/>
        <v>#REF!</v>
      </c>
    </row>
    <row r="37" spans="2:22" ht="18" x14ac:dyDescent="0.2">
      <c r="B37" s="141" t="e">
        <f>#REF!</f>
        <v>#REF!</v>
      </c>
      <c r="C37" s="141" t="e">
        <f>#REF!</f>
        <v>#REF!</v>
      </c>
      <c r="D37" s="142" t="e">
        <f>PROPER(#REF!)</f>
        <v>#REF!</v>
      </c>
      <c r="E37" s="142" t="e">
        <f>PROPER(#REF!)</f>
        <v>#REF!</v>
      </c>
      <c r="F37" s="135" t="e">
        <f>VLOOKUP(Table1345[[#This Row],[R No.]],'sheet 1'!#REF!,7,FALSE)</f>
        <v>#REF!</v>
      </c>
      <c r="G37" s="135" t="e">
        <f>VLOOKUP(Table1345[[#This Row],[R No.]],'sheet 1'!#REF!,11,FALSE)</f>
        <v>#REF!</v>
      </c>
      <c r="H37" s="135" t="e">
        <f>VLOOKUP(Table1345[[#This Row],[R No.]],'sheet 1'!#REF!,15,FALSE)</f>
        <v>#REF!</v>
      </c>
      <c r="I37" s="135" t="e">
        <f>VLOOKUP(Table1345[[#This Row],[R No.]],'sheet 1'!#REF!,19,FALSE)</f>
        <v>#REF!</v>
      </c>
      <c r="J37" s="135" t="e">
        <f>VLOOKUP(Table1345[[#This Row],[R No.]],'sheet 1'!#REF!,23,FALSE)</f>
        <v>#REF!</v>
      </c>
      <c r="K37" s="136" t="e">
        <f>VLOOKUP(Table1345[[#This Row],[R No.]],'sheet 1'!#REF!,38,FALSE)</f>
        <v>#REF!</v>
      </c>
      <c r="L37" s="143" t="e">
        <f t="shared" si="8"/>
        <v>#REF!</v>
      </c>
      <c r="M37" s="141" t="e">
        <f t="shared" si="0"/>
        <v>#REF!</v>
      </c>
      <c r="N37" s="182" t="e">
        <f>VLOOKUP(Table1345[[#This Row],[R No.]],'sheet 1'!#REF!,41,FALSE)</f>
        <v>#REF!</v>
      </c>
      <c r="O37" s="138" t="e">
        <f t="shared" si="1"/>
        <v>#REF!</v>
      </c>
      <c r="Q37" s="123" t="e">
        <f t="shared" si="2"/>
        <v>#REF!</v>
      </c>
      <c r="R37" s="123" t="e">
        <f t="shared" si="3"/>
        <v>#REF!</v>
      </c>
      <c r="S37" s="123" t="e">
        <f t="shared" si="4"/>
        <v>#REF!</v>
      </c>
      <c r="T37" s="123" t="e">
        <f t="shared" si="5"/>
        <v>#REF!</v>
      </c>
      <c r="U37" s="123" t="e">
        <f t="shared" si="6"/>
        <v>#REF!</v>
      </c>
      <c r="V37" s="140" t="e">
        <f t="shared" si="7"/>
        <v>#REF!</v>
      </c>
    </row>
    <row r="38" spans="2:22" ht="18" x14ac:dyDescent="0.2">
      <c r="B38" s="141" t="e">
        <f>#REF!</f>
        <v>#REF!</v>
      </c>
      <c r="C38" s="141" t="e">
        <f>#REF!</f>
        <v>#REF!</v>
      </c>
      <c r="D38" s="142" t="e">
        <f>PROPER(#REF!)</f>
        <v>#REF!</v>
      </c>
      <c r="E38" s="142" t="e">
        <f>PROPER(#REF!)</f>
        <v>#REF!</v>
      </c>
      <c r="F38" s="135" t="e">
        <f>VLOOKUP(Table1345[[#This Row],[R No.]],'sheet 1'!#REF!,7,FALSE)</f>
        <v>#REF!</v>
      </c>
      <c r="G38" s="135" t="e">
        <f>VLOOKUP(Table1345[[#This Row],[R No.]],'sheet 1'!#REF!,11,FALSE)</f>
        <v>#REF!</v>
      </c>
      <c r="H38" s="135" t="e">
        <f>VLOOKUP(Table1345[[#This Row],[R No.]],'sheet 1'!#REF!,15,FALSE)</f>
        <v>#REF!</v>
      </c>
      <c r="I38" s="135" t="e">
        <f>VLOOKUP(Table1345[[#This Row],[R No.]],'sheet 1'!#REF!,19,FALSE)</f>
        <v>#REF!</v>
      </c>
      <c r="J38" s="135" t="e">
        <f>VLOOKUP(Table1345[[#This Row],[R No.]],'sheet 1'!#REF!,23,FALSE)</f>
        <v>#REF!</v>
      </c>
      <c r="K38" s="136" t="e">
        <f>VLOOKUP(Table1345[[#This Row],[R No.]],'sheet 1'!#REF!,38,FALSE)</f>
        <v>#REF!</v>
      </c>
      <c r="L38" s="143" t="e">
        <f t="shared" si="8"/>
        <v>#REF!</v>
      </c>
      <c r="M38" s="141" t="e">
        <f t="shared" si="0"/>
        <v>#REF!</v>
      </c>
      <c r="N38" s="182" t="e">
        <f>VLOOKUP(Table1345[[#This Row],[R No.]],'sheet 1'!#REF!,41,FALSE)</f>
        <v>#REF!</v>
      </c>
      <c r="O38" s="138" t="e">
        <f t="shared" si="1"/>
        <v>#REF!</v>
      </c>
      <c r="Q38" s="123" t="e">
        <f t="shared" si="2"/>
        <v>#REF!</v>
      </c>
      <c r="R38" s="123" t="e">
        <f t="shared" si="3"/>
        <v>#REF!</v>
      </c>
      <c r="S38" s="123" t="e">
        <f t="shared" si="4"/>
        <v>#REF!</v>
      </c>
      <c r="T38" s="123" t="e">
        <f t="shared" si="5"/>
        <v>#REF!</v>
      </c>
      <c r="U38" s="123" t="e">
        <f t="shared" si="6"/>
        <v>#REF!</v>
      </c>
      <c r="V38" s="140" t="e">
        <f t="shared" si="7"/>
        <v>#REF!</v>
      </c>
    </row>
    <row r="39" spans="2:22" ht="18" x14ac:dyDescent="0.2">
      <c r="B39" s="141" t="e">
        <f>#REF!</f>
        <v>#REF!</v>
      </c>
      <c r="C39" s="141" t="e">
        <f>#REF!</f>
        <v>#REF!</v>
      </c>
      <c r="D39" s="142" t="e">
        <f>PROPER(#REF!)</f>
        <v>#REF!</v>
      </c>
      <c r="E39" s="142" t="e">
        <f>PROPER(#REF!)</f>
        <v>#REF!</v>
      </c>
      <c r="F39" s="135" t="e">
        <f>VLOOKUP(Table1345[[#This Row],[R No.]],'sheet 1'!#REF!,7,FALSE)</f>
        <v>#REF!</v>
      </c>
      <c r="G39" s="135" t="e">
        <f>VLOOKUP(Table1345[[#This Row],[R No.]],'sheet 1'!#REF!,11,FALSE)</f>
        <v>#REF!</v>
      </c>
      <c r="H39" s="135" t="e">
        <f>VLOOKUP(Table1345[[#This Row],[R No.]],'sheet 1'!#REF!,15,FALSE)</f>
        <v>#REF!</v>
      </c>
      <c r="I39" s="135" t="e">
        <f>VLOOKUP(Table1345[[#This Row],[R No.]],'sheet 1'!#REF!,19,FALSE)</f>
        <v>#REF!</v>
      </c>
      <c r="J39" s="135" t="e">
        <f>VLOOKUP(Table1345[[#This Row],[R No.]],'sheet 1'!#REF!,23,FALSE)</f>
        <v>#REF!</v>
      </c>
      <c r="K39" s="136" t="e">
        <f>VLOOKUP(Table1345[[#This Row],[R No.]],'sheet 1'!#REF!,38,FALSE)</f>
        <v>#REF!</v>
      </c>
      <c r="L39" s="143" t="e">
        <f t="shared" si="8"/>
        <v>#REF!</v>
      </c>
      <c r="M39" s="141" t="e">
        <f t="shared" si="0"/>
        <v>#REF!</v>
      </c>
      <c r="N39" s="182" t="e">
        <f>VLOOKUP(Table1345[[#This Row],[R No.]],'sheet 1'!#REF!,41,FALSE)</f>
        <v>#REF!</v>
      </c>
      <c r="O39" s="138" t="e">
        <f t="shared" si="1"/>
        <v>#REF!</v>
      </c>
      <c r="Q39" s="123" t="e">
        <f t="shared" si="2"/>
        <v>#REF!</v>
      </c>
      <c r="R39" s="123" t="e">
        <f t="shared" si="3"/>
        <v>#REF!</v>
      </c>
      <c r="S39" s="123" t="e">
        <f t="shared" si="4"/>
        <v>#REF!</v>
      </c>
      <c r="T39" s="123" t="e">
        <f t="shared" si="5"/>
        <v>#REF!</v>
      </c>
      <c r="U39" s="123" t="e">
        <f t="shared" si="6"/>
        <v>#REF!</v>
      </c>
      <c r="V39" s="140" t="e">
        <f t="shared" si="7"/>
        <v>#REF!</v>
      </c>
    </row>
    <row r="40" spans="2:22" ht="18" x14ac:dyDescent="0.2">
      <c r="B40" s="141" t="e">
        <f>#REF!</f>
        <v>#REF!</v>
      </c>
      <c r="C40" s="141" t="e">
        <f>#REF!</f>
        <v>#REF!</v>
      </c>
      <c r="D40" s="142" t="e">
        <f>PROPER(#REF!)</f>
        <v>#REF!</v>
      </c>
      <c r="E40" s="142" t="e">
        <f>PROPER(#REF!)</f>
        <v>#REF!</v>
      </c>
      <c r="F40" s="135" t="e">
        <f>VLOOKUP(Table1345[[#This Row],[R No.]],'sheet 1'!#REF!,7,FALSE)</f>
        <v>#REF!</v>
      </c>
      <c r="G40" s="135" t="e">
        <f>VLOOKUP(Table1345[[#This Row],[R No.]],'sheet 1'!#REF!,11,FALSE)</f>
        <v>#REF!</v>
      </c>
      <c r="H40" s="135" t="e">
        <f>VLOOKUP(Table1345[[#This Row],[R No.]],'sheet 1'!#REF!,15,FALSE)</f>
        <v>#REF!</v>
      </c>
      <c r="I40" s="135" t="e">
        <f>VLOOKUP(Table1345[[#This Row],[R No.]],'sheet 1'!#REF!,19,FALSE)</f>
        <v>#REF!</v>
      </c>
      <c r="J40" s="135" t="e">
        <f>VLOOKUP(Table1345[[#This Row],[R No.]],'sheet 1'!#REF!,23,FALSE)</f>
        <v>#REF!</v>
      </c>
      <c r="K40" s="136" t="e">
        <f>VLOOKUP(Table1345[[#This Row],[R No.]],'sheet 1'!#REF!,38,FALSE)</f>
        <v>#REF!</v>
      </c>
      <c r="L40" s="143" t="e">
        <f t="shared" si="8"/>
        <v>#REF!</v>
      </c>
      <c r="M40" s="141" t="e">
        <f t="shared" si="0"/>
        <v>#REF!</v>
      </c>
      <c r="N40" s="182" t="e">
        <f>VLOOKUP(Table1345[[#This Row],[R No.]],'sheet 1'!#REF!,41,FALSE)</f>
        <v>#REF!</v>
      </c>
      <c r="O40" s="138" t="e">
        <f t="shared" si="1"/>
        <v>#REF!</v>
      </c>
      <c r="Q40" s="123" t="e">
        <f t="shared" si="2"/>
        <v>#REF!</v>
      </c>
      <c r="R40" s="123" t="e">
        <f t="shared" si="3"/>
        <v>#REF!</v>
      </c>
      <c r="S40" s="123" t="e">
        <f t="shared" si="4"/>
        <v>#REF!</v>
      </c>
      <c r="T40" s="123" t="e">
        <f t="shared" si="5"/>
        <v>#REF!</v>
      </c>
      <c r="U40" s="123" t="e">
        <f t="shared" si="6"/>
        <v>#REF!</v>
      </c>
      <c r="V40" s="140" t="e">
        <f t="shared" si="7"/>
        <v>#REF!</v>
      </c>
    </row>
    <row r="41" spans="2:22" ht="18" x14ac:dyDescent="0.2">
      <c r="B41" s="141" t="e">
        <f>#REF!</f>
        <v>#REF!</v>
      </c>
      <c r="C41" s="141" t="e">
        <f>#REF!</f>
        <v>#REF!</v>
      </c>
      <c r="D41" s="142" t="e">
        <f>PROPER(#REF!)</f>
        <v>#REF!</v>
      </c>
      <c r="E41" s="142" t="e">
        <f>PROPER(#REF!)</f>
        <v>#REF!</v>
      </c>
      <c r="F41" s="135" t="e">
        <f>VLOOKUP(Table1345[[#This Row],[R No.]],'sheet 1'!#REF!,7,FALSE)</f>
        <v>#REF!</v>
      </c>
      <c r="G41" s="135" t="e">
        <f>VLOOKUP(Table1345[[#This Row],[R No.]],'sheet 1'!#REF!,11,FALSE)</f>
        <v>#REF!</v>
      </c>
      <c r="H41" s="135" t="e">
        <f>VLOOKUP(Table1345[[#This Row],[R No.]],'sheet 1'!#REF!,15,FALSE)</f>
        <v>#REF!</v>
      </c>
      <c r="I41" s="135" t="e">
        <f>VLOOKUP(Table1345[[#This Row],[R No.]],'sheet 1'!#REF!,19,FALSE)</f>
        <v>#REF!</v>
      </c>
      <c r="J41" s="135" t="e">
        <f>VLOOKUP(Table1345[[#This Row],[R No.]],'sheet 1'!#REF!,23,FALSE)</f>
        <v>#REF!</v>
      </c>
      <c r="K41" s="136" t="e">
        <f>VLOOKUP(Table1345[[#This Row],[R No.]],'sheet 1'!#REF!,38,FALSE)</f>
        <v>#REF!</v>
      </c>
      <c r="L41" s="143" t="e">
        <f t="shared" si="8"/>
        <v>#REF!</v>
      </c>
      <c r="M41" s="141" t="e">
        <f t="shared" si="0"/>
        <v>#REF!</v>
      </c>
      <c r="N41" s="182" t="e">
        <f>VLOOKUP(Table1345[[#This Row],[R No.]],'sheet 1'!#REF!,41,FALSE)</f>
        <v>#REF!</v>
      </c>
      <c r="O41" s="138" t="e">
        <f t="shared" si="1"/>
        <v>#REF!</v>
      </c>
      <c r="Q41" s="123" t="e">
        <f t="shared" si="2"/>
        <v>#REF!</v>
      </c>
      <c r="R41" s="123" t="e">
        <f t="shared" si="3"/>
        <v>#REF!</v>
      </c>
      <c r="S41" s="123" t="e">
        <f t="shared" si="4"/>
        <v>#REF!</v>
      </c>
      <c r="T41" s="123" t="e">
        <f t="shared" si="5"/>
        <v>#REF!</v>
      </c>
      <c r="U41" s="123" t="e">
        <f t="shared" si="6"/>
        <v>#REF!</v>
      </c>
      <c r="V41" s="140" t="e">
        <f t="shared" si="7"/>
        <v>#REF!</v>
      </c>
    </row>
    <row r="42" spans="2:22" ht="18" x14ac:dyDescent="0.2">
      <c r="B42" s="141" t="e">
        <f>#REF!</f>
        <v>#REF!</v>
      </c>
      <c r="C42" s="141" t="e">
        <f>#REF!</f>
        <v>#REF!</v>
      </c>
      <c r="D42" s="142" t="e">
        <f>PROPER(#REF!)</f>
        <v>#REF!</v>
      </c>
      <c r="E42" s="142" t="e">
        <f>PROPER(#REF!)</f>
        <v>#REF!</v>
      </c>
      <c r="F42" s="135" t="e">
        <f>VLOOKUP(Table1345[[#This Row],[R No.]],'sheet 1'!#REF!,7,FALSE)</f>
        <v>#REF!</v>
      </c>
      <c r="G42" s="135" t="e">
        <f>VLOOKUP(Table1345[[#This Row],[R No.]],'sheet 1'!#REF!,11,FALSE)</f>
        <v>#REF!</v>
      </c>
      <c r="H42" s="135" t="e">
        <f>VLOOKUP(Table1345[[#This Row],[R No.]],'sheet 1'!#REF!,15,FALSE)</f>
        <v>#REF!</v>
      </c>
      <c r="I42" s="135" t="e">
        <f>VLOOKUP(Table1345[[#This Row],[R No.]],'sheet 1'!#REF!,19,FALSE)</f>
        <v>#REF!</v>
      </c>
      <c r="J42" s="135" t="e">
        <f>VLOOKUP(Table1345[[#This Row],[R No.]],'sheet 1'!#REF!,23,FALSE)</f>
        <v>#REF!</v>
      </c>
      <c r="K42" s="136" t="e">
        <f>VLOOKUP(Table1345[[#This Row],[R No.]],'sheet 1'!#REF!,38,FALSE)</f>
        <v>#REF!</v>
      </c>
      <c r="L42" s="143" t="e">
        <f t="shared" si="8"/>
        <v>#REF!</v>
      </c>
      <c r="M42" s="141" t="e">
        <f t="shared" si="0"/>
        <v>#REF!</v>
      </c>
      <c r="N42" s="182" t="e">
        <f>VLOOKUP(Table1345[[#This Row],[R No.]],'sheet 1'!#REF!,41,FALSE)</f>
        <v>#REF!</v>
      </c>
      <c r="O42" s="138" t="e">
        <f t="shared" si="1"/>
        <v>#REF!</v>
      </c>
      <c r="Q42" s="123" t="e">
        <f t="shared" ref="Q42:Q73" si="9">IF(F42="F",$F$9,"")</f>
        <v>#REF!</v>
      </c>
      <c r="R42" s="123" t="e">
        <f t="shared" ref="R42:R73" si="10">IF(G42="F",$G$9,"")</f>
        <v>#REF!</v>
      </c>
      <c r="S42" s="123" t="e">
        <f t="shared" ref="S42:S73" si="11">IF(H42="F",$H$9,"")</f>
        <v>#REF!</v>
      </c>
      <c r="T42" s="123" t="e">
        <f t="shared" ref="T42:T73" si="12">IF(I42="F",$I$9,"")</f>
        <v>#REF!</v>
      </c>
      <c r="U42" s="123" t="e">
        <f t="shared" ref="U42:U73" si="13">IF(J42="F",$J$9,"")</f>
        <v>#REF!</v>
      </c>
      <c r="V42" s="140" t="e">
        <f t="shared" si="7"/>
        <v>#REF!</v>
      </c>
    </row>
    <row r="43" spans="2:22" ht="18" x14ac:dyDescent="0.2">
      <c r="B43" s="141" t="e">
        <f>#REF!</f>
        <v>#REF!</v>
      </c>
      <c r="C43" s="141" t="e">
        <f>#REF!</f>
        <v>#REF!</v>
      </c>
      <c r="D43" s="142" t="e">
        <f>PROPER(#REF!)</f>
        <v>#REF!</v>
      </c>
      <c r="E43" s="142" t="e">
        <f>PROPER(#REF!)</f>
        <v>#REF!</v>
      </c>
      <c r="F43" s="135" t="e">
        <f>VLOOKUP(Table1345[[#This Row],[R No.]],'sheet 1'!#REF!,7,FALSE)</f>
        <v>#REF!</v>
      </c>
      <c r="G43" s="135" t="e">
        <f>VLOOKUP(Table1345[[#This Row],[R No.]],'sheet 1'!#REF!,11,FALSE)</f>
        <v>#REF!</v>
      </c>
      <c r="H43" s="135" t="e">
        <f>VLOOKUP(Table1345[[#This Row],[R No.]],'sheet 1'!#REF!,15,FALSE)</f>
        <v>#REF!</v>
      </c>
      <c r="I43" s="135" t="e">
        <f>VLOOKUP(Table1345[[#This Row],[R No.]],'sheet 1'!#REF!,19,FALSE)</f>
        <v>#REF!</v>
      </c>
      <c r="J43" s="135" t="e">
        <f>VLOOKUP(Table1345[[#This Row],[R No.]],'sheet 1'!#REF!,23,FALSE)</f>
        <v>#REF!</v>
      </c>
      <c r="K43" s="136" t="e">
        <f>VLOOKUP(Table1345[[#This Row],[R No.]],'sheet 1'!#REF!,38,FALSE)</f>
        <v>#REF!</v>
      </c>
      <c r="L43" s="143" t="e">
        <f t="shared" si="8"/>
        <v>#REF!</v>
      </c>
      <c r="M43" s="141" t="e">
        <f t="shared" si="0"/>
        <v>#REF!</v>
      </c>
      <c r="N43" s="182" t="e">
        <f>VLOOKUP(Table1345[[#This Row],[R No.]],'sheet 1'!#REF!,41,FALSE)</f>
        <v>#REF!</v>
      </c>
      <c r="O43" s="138" t="e">
        <f t="shared" si="1"/>
        <v>#REF!</v>
      </c>
      <c r="Q43" s="123" t="e">
        <f t="shared" si="9"/>
        <v>#REF!</v>
      </c>
      <c r="R43" s="123" t="e">
        <f t="shared" si="10"/>
        <v>#REF!</v>
      </c>
      <c r="S43" s="123" t="e">
        <f t="shared" si="11"/>
        <v>#REF!</v>
      </c>
      <c r="T43" s="123" t="e">
        <f t="shared" si="12"/>
        <v>#REF!</v>
      </c>
      <c r="U43" s="123" t="e">
        <f t="shared" si="13"/>
        <v>#REF!</v>
      </c>
      <c r="V43" s="140" t="e">
        <f t="shared" si="7"/>
        <v>#REF!</v>
      </c>
    </row>
    <row r="44" spans="2:22" ht="18" x14ac:dyDescent="0.2">
      <c r="B44" s="141" t="e">
        <f>#REF!</f>
        <v>#REF!</v>
      </c>
      <c r="C44" s="141" t="e">
        <f>#REF!</f>
        <v>#REF!</v>
      </c>
      <c r="D44" s="142" t="e">
        <f>PROPER(#REF!)</f>
        <v>#REF!</v>
      </c>
      <c r="E44" s="142" t="e">
        <f>PROPER(#REF!)</f>
        <v>#REF!</v>
      </c>
      <c r="F44" s="135" t="e">
        <f>VLOOKUP(Table1345[[#This Row],[R No.]],'sheet 1'!#REF!,7,FALSE)</f>
        <v>#REF!</v>
      </c>
      <c r="G44" s="135" t="e">
        <f>VLOOKUP(Table1345[[#This Row],[R No.]],'sheet 1'!#REF!,11,FALSE)</f>
        <v>#REF!</v>
      </c>
      <c r="H44" s="135" t="e">
        <f>VLOOKUP(Table1345[[#This Row],[R No.]],'sheet 1'!#REF!,15,FALSE)</f>
        <v>#REF!</v>
      </c>
      <c r="I44" s="135" t="e">
        <f>VLOOKUP(Table1345[[#This Row],[R No.]],'sheet 1'!#REF!,19,FALSE)</f>
        <v>#REF!</v>
      </c>
      <c r="J44" s="135" t="e">
        <f>VLOOKUP(Table1345[[#This Row],[R No.]],'sheet 1'!#REF!,23,FALSE)</f>
        <v>#REF!</v>
      </c>
      <c r="K44" s="136" t="e">
        <f>VLOOKUP(Table1345[[#This Row],[R No.]],'sheet 1'!#REF!,38,FALSE)</f>
        <v>#REF!</v>
      </c>
      <c r="L44" s="143" t="e">
        <f t="shared" si="8"/>
        <v>#REF!</v>
      </c>
      <c r="M44" s="141" t="e">
        <f t="shared" si="0"/>
        <v>#REF!</v>
      </c>
      <c r="N44" s="182" t="e">
        <f>VLOOKUP(Table1345[[#This Row],[R No.]],'sheet 1'!#REF!,41,FALSE)</f>
        <v>#REF!</v>
      </c>
      <c r="O44" s="138" t="e">
        <f t="shared" si="1"/>
        <v>#REF!</v>
      </c>
      <c r="Q44" s="123" t="e">
        <f t="shared" si="9"/>
        <v>#REF!</v>
      </c>
      <c r="R44" s="123" t="e">
        <f t="shared" si="10"/>
        <v>#REF!</v>
      </c>
      <c r="S44" s="123" t="e">
        <f t="shared" si="11"/>
        <v>#REF!</v>
      </c>
      <c r="T44" s="123" t="e">
        <f t="shared" si="12"/>
        <v>#REF!</v>
      </c>
      <c r="U44" s="123" t="e">
        <f t="shared" si="13"/>
        <v>#REF!</v>
      </c>
      <c r="V44" s="140" t="e">
        <f t="shared" si="7"/>
        <v>#REF!</v>
      </c>
    </row>
    <row r="45" spans="2:22" ht="18" x14ac:dyDescent="0.2">
      <c r="B45" s="141" t="e">
        <f>#REF!</f>
        <v>#REF!</v>
      </c>
      <c r="C45" s="141" t="e">
        <f>#REF!</f>
        <v>#REF!</v>
      </c>
      <c r="D45" s="142" t="e">
        <f>PROPER(#REF!)</f>
        <v>#REF!</v>
      </c>
      <c r="E45" s="142" t="e">
        <f>PROPER(#REF!)</f>
        <v>#REF!</v>
      </c>
      <c r="F45" s="135" t="e">
        <f>VLOOKUP(Table1345[[#This Row],[R No.]],'sheet 1'!#REF!,7,FALSE)</f>
        <v>#REF!</v>
      </c>
      <c r="G45" s="135" t="e">
        <f>VLOOKUP(Table1345[[#This Row],[R No.]],'sheet 1'!#REF!,11,FALSE)</f>
        <v>#REF!</v>
      </c>
      <c r="H45" s="135" t="e">
        <f>VLOOKUP(Table1345[[#This Row],[R No.]],'sheet 1'!#REF!,15,FALSE)</f>
        <v>#REF!</v>
      </c>
      <c r="I45" s="135" t="e">
        <f>VLOOKUP(Table1345[[#This Row],[R No.]],'sheet 1'!#REF!,19,FALSE)</f>
        <v>#REF!</v>
      </c>
      <c r="J45" s="135" t="e">
        <f>VLOOKUP(Table1345[[#This Row],[R No.]],'sheet 1'!#REF!,23,FALSE)</f>
        <v>#REF!</v>
      </c>
      <c r="K45" s="136" t="e">
        <f>VLOOKUP(Table1345[[#This Row],[R No.]],'sheet 1'!#REF!,38,FALSE)</f>
        <v>#REF!</v>
      </c>
      <c r="L45" s="143" t="e">
        <f t="shared" si="8"/>
        <v>#REF!</v>
      </c>
      <c r="M45" s="141" t="e">
        <f t="shared" si="0"/>
        <v>#REF!</v>
      </c>
      <c r="N45" s="182" t="e">
        <f>VLOOKUP(Table1345[[#This Row],[R No.]],'sheet 1'!#REF!,41,FALSE)</f>
        <v>#REF!</v>
      </c>
      <c r="O45" s="138" t="e">
        <f t="shared" si="1"/>
        <v>#REF!</v>
      </c>
      <c r="Q45" s="123" t="e">
        <f t="shared" si="9"/>
        <v>#REF!</v>
      </c>
      <c r="R45" s="123" t="e">
        <f t="shared" si="10"/>
        <v>#REF!</v>
      </c>
      <c r="S45" s="123" t="e">
        <f t="shared" si="11"/>
        <v>#REF!</v>
      </c>
      <c r="T45" s="123" t="e">
        <f t="shared" si="12"/>
        <v>#REF!</v>
      </c>
      <c r="U45" s="123" t="e">
        <f t="shared" si="13"/>
        <v>#REF!</v>
      </c>
      <c r="V45" s="140" t="e">
        <f t="shared" si="7"/>
        <v>#REF!</v>
      </c>
    </row>
    <row r="46" spans="2:22" ht="18" x14ac:dyDescent="0.2">
      <c r="B46" s="141" t="e">
        <f>#REF!</f>
        <v>#REF!</v>
      </c>
      <c r="C46" s="141" t="e">
        <f>#REF!</f>
        <v>#REF!</v>
      </c>
      <c r="D46" s="142" t="e">
        <f>PROPER(#REF!)</f>
        <v>#REF!</v>
      </c>
      <c r="E46" s="142" t="e">
        <f>PROPER(#REF!)</f>
        <v>#REF!</v>
      </c>
      <c r="F46" s="135" t="e">
        <f>VLOOKUP(Table1345[[#This Row],[R No.]],'sheet 1'!#REF!,7,FALSE)</f>
        <v>#REF!</v>
      </c>
      <c r="G46" s="135" t="e">
        <f>VLOOKUP(Table1345[[#This Row],[R No.]],'sheet 1'!#REF!,11,FALSE)</f>
        <v>#REF!</v>
      </c>
      <c r="H46" s="135" t="e">
        <f>VLOOKUP(Table1345[[#This Row],[R No.]],'sheet 1'!#REF!,15,FALSE)</f>
        <v>#REF!</v>
      </c>
      <c r="I46" s="135" t="e">
        <f>VLOOKUP(Table1345[[#This Row],[R No.]],'sheet 1'!#REF!,19,FALSE)</f>
        <v>#REF!</v>
      </c>
      <c r="J46" s="135" t="e">
        <f>VLOOKUP(Table1345[[#This Row],[R No.]],'sheet 1'!#REF!,23,FALSE)</f>
        <v>#REF!</v>
      </c>
      <c r="K46" s="136" t="e">
        <f>VLOOKUP(Table1345[[#This Row],[R No.]],'sheet 1'!#REF!,38,FALSE)</f>
        <v>#REF!</v>
      </c>
      <c r="L46" s="143" t="e">
        <f t="shared" si="8"/>
        <v>#REF!</v>
      </c>
      <c r="M46" s="141" t="e">
        <f t="shared" si="0"/>
        <v>#REF!</v>
      </c>
      <c r="N46" s="182" t="e">
        <f>VLOOKUP(Table1345[[#This Row],[R No.]],'sheet 1'!#REF!,41,FALSE)</f>
        <v>#REF!</v>
      </c>
      <c r="O46" s="138" t="e">
        <f t="shared" si="1"/>
        <v>#REF!</v>
      </c>
      <c r="Q46" s="123" t="e">
        <f t="shared" si="9"/>
        <v>#REF!</v>
      </c>
      <c r="R46" s="123" t="e">
        <f t="shared" si="10"/>
        <v>#REF!</v>
      </c>
      <c r="S46" s="123" t="e">
        <f t="shared" si="11"/>
        <v>#REF!</v>
      </c>
      <c r="T46" s="123" t="e">
        <f t="shared" si="12"/>
        <v>#REF!</v>
      </c>
      <c r="U46" s="123" t="e">
        <f t="shared" si="13"/>
        <v>#REF!</v>
      </c>
      <c r="V46" s="140" t="e">
        <f t="shared" si="7"/>
        <v>#REF!</v>
      </c>
    </row>
    <row r="47" spans="2:22" ht="18" x14ac:dyDescent="0.2">
      <c r="B47" s="141" t="e">
        <f>#REF!</f>
        <v>#REF!</v>
      </c>
      <c r="C47" s="141" t="e">
        <f>#REF!</f>
        <v>#REF!</v>
      </c>
      <c r="D47" s="142" t="e">
        <f>PROPER(#REF!)</f>
        <v>#REF!</v>
      </c>
      <c r="E47" s="142" t="e">
        <f>PROPER(#REF!)</f>
        <v>#REF!</v>
      </c>
      <c r="F47" s="135" t="e">
        <f>VLOOKUP(Table1345[[#This Row],[R No.]],'sheet 1'!#REF!,7,FALSE)</f>
        <v>#REF!</v>
      </c>
      <c r="G47" s="135" t="e">
        <f>VLOOKUP(Table1345[[#This Row],[R No.]],'sheet 1'!#REF!,11,FALSE)</f>
        <v>#REF!</v>
      </c>
      <c r="H47" s="135" t="e">
        <f>VLOOKUP(Table1345[[#This Row],[R No.]],'sheet 1'!#REF!,15,FALSE)</f>
        <v>#REF!</v>
      </c>
      <c r="I47" s="135" t="e">
        <f>VLOOKUP(Table1345[[#This Row],[R No.]],'sheet 1'!#REF!,19,FALSE)</f>
        <v>#REF!</v>
      </c>
      <c r="J47" s="135" t="e">
        <f>VLOOKUP(Table1345[[#This Row],[R No.]],'sheet 1'!#REF!,23,FALSE)</f>
        <v>#REF!</v>
      </c>
      <c r="K47" s="136" t="e">
        <f>VLOOKUP(Table1345[[#This Row],[R No.]],'sheet 1'!#REF!,38,FALSE)</f>
        <v>#REF!</v>
      </c>
      <c r="L47" s="143" t="e">
        <f t="shared" si="8"/>
        <v>#REF!</v>
      </c>
      <c r="M47" s="141" t="e">
        <f t="shared" si="0"/>
        <v>#REF!</v>
      </c>
      <c r="N47" s="182" t="e">
        <f>VLOOKUP(Table1345[[#This Row],[R No.]],'sheet 1'!#REF!,41,FALSE)</f>
        <v>#REF!</v>
      </c>
      <c r="O47" s="138" t="e">
        <f t="shared" si="1"/>
        <v>#REF!</v>
      </c>
      <c r="Q47" s="123" t="e">
        <f t="shared" si="9"/>
        <v>#REF!</v>
      </c>
      <c r="R47" s="123" t="e">
        <f t="shared" si="10"/>
        <v>#REF!</v>
      </c>
      <c r="S47" s="123" t="e">
        <f t="shared" si="11"/>
        <v>#REF!</v>
      </c>
      <c r="T47" s="123" t="e">
        <f t="shared" si="12"/>
        <v>#REF!</v>
      </c>
      <c r="U47" s="123" t="e">
        <f t="shared" si="13"/>
        <v>#REF!</v>
      </c>
      <c r="V47" s="140" t="e">
        <f t="shared" si="7"/>
        <v>#REF!</v>
      </c>
    </row>
    <row r="48" spans="2:22" ht="18" x14ac:dyDescent="0.2">
      <c r="B48" s="141" t="e">
        <f>#REF!</f>
        <v>#REF!</v>
      </c>
      <c r="C48" s="141" t="e">
        <f>#REF!</f>
        <v>#REF!</v>
      </c>
      <c r="D48" s="142" t="e">
        <f>PROPER(#REF!)</f>
        <v>#REF!</v>
      </c>
      <c r="E48" s="142" t="e">
        <f>PROPER(#REF!)</f>
        <v>#REF!</v>
      </c>
      <c r="F48" s="135" t="e">
        <f>VLOOKUP(Table1345[[#This Row],[R No.]],'sheet 1'!#REF!,7,FALSE)</f>
        <v>#REF!</v>
      </c>
      <c r="G48" s="135" t="e">
        <f>VLOOKUP(Table1345[[#This Row],[R No.]],'sheet 1'!#REF!,11,FALSE)</f>
        <v>#REF!</v>
      </c>
      <c r="H48" s="135" t="e">
        <f>VLOOKUP(Table1345[[#This Row],[R No.]],'sheet 1'!#REF!,15,FALSE)</f>
        <v>#REF!</v>
      </c>
      <c r="I48" s="135" t="e">
        <f>VLOOKUP(Table1345[[#This Row],[R No.]],'sheet 1'!#REF!,19,FALSE)</f>
        <v>#REF!</v>
      </c>
      <c r="J48" s="135" t="e">
        <f>VLOOKUP(Table1345[[#This Row],[R No.]],'sheet 1'!#REF!,23,FALSE)</f>
        <v>#REF!</v>
      </c>
      <c r="K48" s="136" t="e">
        <f>VLOOKUP(Table1345[[#This Row],[R No.]],'sheet 1'!#REF!,38,FALSE)</f>
        <v>#REF!</v>
      </c>
      <c r="L48" s="143" t="e">
        <f t="shared" si="8"/>
        <v>#REF!</v>
      </c>
      <c r="M48" s="141" t="e">
        <f t="shared" si="0"/>
        <v>#REF!</v>
      </c>
      <c r="N48" s="182" t="e">
        <f>VLOOKUP(Table1345[[#This Row],[R No.]],'sheet 1'!#REF!,41,FALSE)</f>
        <v>#REF!</v>
      </c>
      <c r="O48" s="138" t="e">
        <f t="shared" si="1"/>
        <v>#REF!</v>
      </c>
      <c r="Q48" s="123" t="e">
        <f t="shared" si="9"/>
        <v>#REF!</v>
      </c>
      <c r="R48" s="123" t="e">
        <f t="shared" si="10"/>
        <v>#REF!</v>
      </c>
      <c r="S48" s="123" t="e">
        <f t="shared" si="11"/>
        <v>#REF!</v>
      </c>
      <c r="T48" s="123" t="e">
        <f t="shared" si="12"/>
        <v>#REF!</v>
      </c>
      <c r="U48" s="123" t="e">
        <f t="shared" si="13"/>
        <v>#REF!</v>
      </c>
      <c r="V48" s="140" t="e">
        <f t="shared" si="7"/>
        <v>#REF!</v>
      </c>
    </row>
    <row r="49" spans="2:22" ht="18" x14ac:dyDescent="0.2">
      <c r="B49" s="141" t="e">
        <f>#REF!</f>
        <v>#REF!</v>
      </c>
      <c r="C49" s="141" t="e">
        <f>#REF!</f>
        <v>#REF!</v>
      </c>
      <c r="D49" s="142" t="e">
        <f>PROPER(#REF!)</f>
        <v>#REF!</v>
      </c>
      <c r="E49" s="142" t="e">
        <f>PROPER(#REF!)</f>
        <v>#REF!</v>
      </c>
      <c r="F49" s="135" t="e">
        <f>VLOOKUP(Table1345[[#This Row],[R No.]],'sheet 1'!#REF!,7,FALSE)</f>
        <v>#REF!</v>
      </c>
      <c r="G49" s="135" t="e">
        <f>VLOOKUP(Table1345[[#This Row],[R No.]],'sheet 1'!#REF!,11,FALSE)</f>
        <v>#REF!</v>
      </c>
      <c r="H49" s="135" t="e">
        <f>VLOOKUP(Table1345[[#This Row],[R No.]],'sheet 1'!#REF!,15,FALSE)</f>
        <v>#REF!</v>
      </c>
      <c r="I49" s="135" t="e">
        <f>VLOOKUP(Table1345[[#This Row],[R No.]],'sheet 1'!#REF!,19,FALSE)</f>
        <v>#REF!</v>
      </c>
      <c r="J49" s="135" t="e">
        <f>VLOOKUP(Table1345[[#This Row],[R No.]],'sheet 1'!#REF!,23,FALSE)</f>
        <v>#REF!</v>
      </c>
      <c r="K49" s="136" t="e">
        <f>VLOOKUP(Table1345[[#This Row],[R No.]],'sheet 1'!#REF!,38,FALSE)</f>
        <v>#REF!</v>
      </c>
      <c r="L49" s="143" t="e">
        <f t="shared" si="8"/>
        <v>#REF!</v>
      </c>
      <c r="M49" s="141" t="e">
        <f t="shared" si="0"/>
        <v>#REF!</v>
      </c>
      <c r="N49" s="182" t="e">
        <f>VLOOKUP(Table1345[[#This Row],[R No.]],'sheet 1'!#REF!,41,FALSE)</f>
        <v>#REF!</v>
      </c>
      <c r="O49" s="138" t="e">
        <f t="shared" si="1"/>
        <v>#REF!</v>
      </c>
      <c r="Q49" s="123" t="e">
        <f t="shared" si="9"/>
        <v>#REF!</v>
      </c>
      <c r="R49" s="123" t="e">
        <f t="shared" si="10"/>
        <v>#REF!</v>
      </c>
      <c r="S49" s="123" t="e">
        <f t="shared" si="11"/>
        <v>#REF!</v>
      </c>
      <c r="T49" s="123" t="e">
        <f t="shared" si="12"/>
        <v>#REF!</v>
      </c>
      <c r="U49" s="123" t="e">
        <f t="shared" si="13"/>
        <v>#REF!</v>
      </c>
      <c r="V49" s="140" t="e">
        <f t="shared" si="7"/>
        <v>#REF!</v>
      </c>
    </row>
    <row r="50" spans="2:22" ht="18" x14ac:dyDescent="0.2">
      <c r="B50" s="141" t="e">
        <f>#REF!</f>
        <v>#REF!</v>
      </c>
      <c r="C50" s="141" t="e">
        <f>#REF!</f>
        <v>#REF!</v>
      </c>
      <c r="D50" s="142" t="e">
        <f>PROPER(#REF!)</f>
        <v>#REF!</v>
      </c>
      <c r="E50" s="142" t="e">
        <f>PROPER(#REF!)</f>
        <v>#REF!</v>
      </c>
      <c r="F50" s="135" t="e">
        <f>VLOOKUP(Table1345[[#This Row],[R No.]],'sheet 1'!#REF!,7,FALSE)</f>
        <v>#REF!</v>
      </c>
      <c r="G50" s="135" t="e">
        <f>VLOOKUP(Table1345[[#This Row],[R No.]],'sheet 1'!#REF!,11,FALSE)</f>
        <v>#REF!</v>
      </c>
      <c r="H50" s="135" t="e">
        <f>VLOOKUP(Table1345[[#This Row],[R No.]],'sheet 1'!#REF!,15,FALSE)</f>
        <v>#REF!</v>
      </c>
      <c r="I50" s="135" t="e">
        <f>VLOOKUP(Table1345[[#This Row],[R No.]],'sheet 1'!#REF!,19,FALSE)</f>
        <v>#REF!</v>
      </c>
      <c r="J50" s="135" t="e">
        <f>VLOOKUP(Table1345[[#This Row],[R No.]],'sheet 1'!#REF!,23,FALSE)</f>
        <v>#REF!</v>
      </c>
      <c r="K50" s="136" t="e">
        <f>VLOOKUP(Table1345[[#This Row],[R No.]],'sheet 1'!#REF!,38,FALSE)</f>
        <v>#REF!</v>
      </c>
      <c r="L50" s="143" t="e">
        <f t="shared" si="8"/>
        <v>#REF!</v>
      </c>
      <c r="M50" s="141" t="e">
        <f t="shared" si="0"/>
        <v>#REF!</v>
      </c>
      <c r="N50" s="182" t="e">
        <f>VLOOKUP(Table1345[[#This Row],[R No.]],'sheet 1'!#REF!,41,FALSE)</f>
        <v>#REF!</v>
      </c>
      <c r="O50" s="138" t="e">
        <f t="shared" si="1"/>
        <v>#REF!</v>
      </c>
      <c r="Q50" s="123" t="e">
        <f t="shared" si="9"/>
        <v>#REF!</v>
      </c>
      <c r="R50" s="123" t="e">
        <f t="shared" si="10"/>
        <v>#REF!</v>
      </c>
      <c r="S50" s="123" t="e">
        <f t="shared" si="11"/>
        <v>#REF!</v>
      </c>
      <c r="T50" s="123" t="e">
        <f t="shared" si="12"/>
        <v>#REF!</v>
      </c>
      <c r="U50" s="123" t="e">
        <f t="shared" si="13"/>
        <v>#REF!</v>
      </c>
      <c r="V50" s="140" t="e">
        <f t="shared" si="7"/>
        <v>#REF!</v>
      </c>
    </row>
    <row r="51" spans="2:22" ht="18" x14ac:dyDescent="0.2">
      <c r="B51" s="141" t="e">
        <f>#REF!</f>
        <v>#REF!</v>
      </c>
      <c r="C51" s="141" t="e">
        <f>#REF!</f>
        <v>#REF!</v>
      </c>
      <c r="D51" s="142" t="e">
        <f>PROPER(#REF!)</f>
        <v>#REF!</v>
      </c>
      <c r="E51" s="142" t="e">
        <f>PROPER(#REF!)</f>
        <v>#REF!</v>
      </c>
      <c r="F51" s="135" t="e">
        <f>VLOOKUP(Table1345[[#This Row],[R No.]],'sheet 1'!#REF!,7,FALSE)</f>
        <v>#REF!</v>
      </c>
      <c r="G51" s="135" t="e">
        <f>VLOOKUP(Table1345[[#This Row],[R No.]],'sheet 1'!#REF!,11,FALSE)</f>
        <v>#REF!</v>
      </c>
      <c r="H51" s="135" t="e">
        <f>VLOOKUP(Table1345[[#This Row],[R No.]],'sheet 1'!#REF!,15,FALSE)</f>
        <v>#REF!</v>
      </c>
      <c r="I51" s="135" t="e">
        <f>VLOOKUP(Table1345[[#This Row],[R No.]],'sheet 1'!#REF!,19,FALSE)</f>
        <v>#REF!</v>
      </c>
      <c r="J51" s="135" t="e">
        <f>VLOOKUP(Table1345[[#This Row],[R No.]],'sheet 1'!#REF!,23,FALSE)</f>
        <v>#REF!</v>
      </c>
      <c r="K51" s="136" t="e">
        <f>VLOOKUP(Table1345[[#This Row],[R No.]],'sheet 1'!#REF!,38,FALSE)</f>
        <v>#REF!</v>
      </c>
      <c r="L51" s="143" t="e">
        <f t="shared" si="8"/>
        <v>#REF!</v>
      </c>
      <c r="M51" s="141" t="e">
        <f t="shared" si="0"/>
        <v>#REF!</v>
      </c>
      <c r="N51" s="182" t="e">
        <f>VLOOKUP(Table1345[[#This Row],[R No.]],'sheet 1'!#REF!,41,FALSE)</f>
        <v>#REF!</v>
      </c>
      <c r="O51" s="138" t="e">
        <f t="shared" si="1"/>
        <v>#REF!</v>
      </c>
      <c r="Q51" s="123" t="e">
        <f t="shared" si="9"/>
        <v>#REF!</v>
      </c>
      <c r="R51" s="123" t="e">
        <f t="shared" si="10"/>
        <v>#REF!</v>
      </c>
      <c r="S51" s="123" t="e">
        <f t="shared" si="11"/>
        <v>#REF!</v>
      </c>
      <c r="T51" s="123" t="e">
        <f t="shared" si="12"/>
        <v>#REF!</v>
      </c>
      <c r="U51" s="123" t="e">
        <f t="shared" si="13"/>
        <v>#REF!</v>
      </c>
      <c r="V51" s="140" t="e">
        <f t="shared" si="7"/>
        <v>#REF!</v>
      </c>
    </row>
    <row r="52" spans="2:22" ht="18" x14ac:dyDescent="0.2">
      <c r="B52" s="141" t="e">
        <f>#REF!</f>
        <v>#REF!</v>
      </c>
      <c r="C52" s="141" t="e">
        <f>#REF!</f>
        <v>#REF!</v>
      </c>
      <c r="D52" s="142" t="e">
        <f>PROPER(#REF!)</f>
        <v>#REF!</v>
      </c>
      <c r="E52" s="142" t="e">
        <f>PROPER(#REF!)</f>
        <v>#REF!</v>
      </c>
      <c r="F52" s="135" t="e">
        <f>VLOOKUP(Table1345[[#This Row],[R No.]],'sheet 1'!#REF!,7,FALSE)</f>
        <v>#REF!</v>
      </c>
      <c r="G52" s="135" t="e">
        <f>VLOOKUP(Table1345[[#This Row],[R No.]],'sheet 1'!#REF!,11,FALSE)</f>
        <v>#REF!</v>
      </c>
      <c r="H52" s="135" t="e">
        <f>VLOOKUP(Table1345[[#This Row],[R No.]],'sheet 1'!#REF!,15,FALSE)</f>
        <v>#REF!</v>
      </c>
      <c r="I52" s="135" t="e">
        <f>VLOOKUP(Table1345[[#This Row],[R No.]],'sheet 1'!#REF!,19,FALSE)</f>
        <v>#REF!</v>
      </c>
      <c r="J52" s="135" t="e">
        <f>VLOOKUP(Table1345[[#This Row],[R No.]],'sheet 1'!#REF!,23,FALSE)</f>
        <v>#REF!</v>
      </c>
      <c r="K52" s="136" t="e">
        <f>VLOOKUP(Table1345[[#This Row],[R No.]],'sheet 1'!#REF!,38,FALSE)</f>
        <v>#REF!</v>
      </c>
      <c r="L52" s="143" t="e">
        <f t="shared" si="8"/>
        <v>#REF!</v>
      </c>
      <c r="M52" s="141" t="e">
        <f t="shared" si="0"/>
        <v>#REF!</v>
      </c>
      <c r="N52" s="182" t="e">
        <f>VLOOKUP(Table1345[[#This Row],[R No.]],'sheet 1'!#REF!,41,FALSE)</f>
        <v>#REF!</v>
      </c>
      <c r="O52" s="138" t="e">
        <f t="shared" si="1"/>
        <v>#REF!</v>
      </c>
      <c r="Q52" s="123" t="e">
        <f t="shared" si="9"/>
        <v>#REF!</v>
      </c>
      <c r="R52" s="123" t="e">
        <f t="shared" si="10"/>
        <v>#REF!</v>
      </c>
      <c r="S52" s="123" t="e">
        <f t="shared" si="11"/>
        <v>#REF!</v>
      </c>
      <c r="T52" s="123" t="e">
        <f t="shared" si="12"/>
        <v>#REF!</v>
      </c>
      <c r="U52" s="123" t="e">
        <f t="shared" si="13"/>
        <v>#REF!</v>
      </c>
      <c r="V52" s="140" t="e">
        <f t="shared" si="7"/>
        <v>#REF!</v>
      </c>
    </row>
    <row r="53" spans="2:22" ht="18" x14ac:dyDescent="0.2">
      <c r="B53" s="141" t="e">
        <f>#REF!</f>
        <v>#REF!</v>
      </c>
      <c r="C53" s="141" t="e">
        <f>#REF!</f>
        <v>#REF!</v>
      </c>
      <c r="D53" s="142" t="e">
        <f>PROPER(#REF!)</f>
        <v>#REF!</v>
      </c>
      <c r="E53" s="142" t="e">
        <f>PROPER(#REF!)</f>
        <v>#REF!</v>
      </c>
      <c r="F53" s="135" t="e">
        <f>VLOOKUP(Table1345[[#This Row],[R No.]],'sheet 1'!#REF!,7,FALSE)</f>
        <v>#REF!</v>
      </c>
      <c r="G53" s="135" t="e">
        <f>VLOOKUP(Table1345[[#This Row],[R No.]],'sheet 1'!#REF!,11,FALSE)</f>
        <v>#REF!</v>
      </c>
      <c r="H53" s="135" t="e">
        <f>VLOOKUP(Table1345[[#This Row],[R No.]],'sheet 1'!#REF!,15,FALSE)</f>
        <v>#REF!</v>
      </c>
      <c r="I53" s="135" t="e">
        <f>VLOOKUP(Table1345[[#This Row],[R No.]],'sheet 1'!#REF!,19,FALSE)</f>
        <v>#REF!</v>
      </c>
      <c r="J53" s="135" t="e">
        <f>VLOOKUP(Table1345[[#This Row],[R No.]],'sheet 1'!#REF!,23,FALSE)</f>
        <v>#REF!</v>
      </c>
      <c r="K53" s="136" t="e">
        <f>VLOOKUP(Table1345[[#This Row],[R No.]],'sheet 1'!#REF!,38,FALSE)</f>
        <v>#REF!</v>
      </c>
      <c r="L53" s="143" t="e">
        <f>IF(K53&gt;3.99,"A",IF(K53&gt;3.49,"B+",IF(K53&gt;2.99,"B",IF(K53&gt;2.49,"C+",IF(K53&gt;1.99,"C",IF(K53&gt;1.49,"D+",IF(K53&gt;0.99,"D","F")))))))</f>
        <v>#REF!</v>
      </c>
      <c r="M53" s="141" t="e">
        <f t="shared" si="0"/>
        <v>#REF!</v>
      </c>
      <c r="N53" s="182" t="e">
        <f>VLOOKUP(Table1345[[#This Row],[R No.]],'sheet 1'!#REF!,41,FALSE)</f>
        <v>#REF!</v>
      </c>
      <c r="O53" s="138" t="e">
        <f t="shared" si="1"/>
        <v>#REF!</v>
      </c>
      <c r="Q53" s="123" t="e">
        <f t="shared" si="9"/>
        <v>#REF!</v>
      </c>
      <c r="R53" s="123" t="e">
        <f t="shared" si="10"/>
        <v>#REF!</v>
      </c>
      <c r="S53" s="123" t="e">
        <f t="shared" si="11"/>
        <v>#REF!</v>
      </c>
      <c r="T53" s="123" t="e">
        <f t="shared" si="12"/>
        <v>#REF!</v>
      </c>
      <c r="U53" s="123" t="e">
        <f t="shared" si="13"/>
        <v>#REF!</v>
      </c>
      <c r="V53" s="140" t="e">
        <f t="shared" si="7"/>
        <v>#REF!</v>
      </c>
    </row>
    <row r="54" spans="2:22" ht="18" x14ac:dyDescent="0.2">
      <c r="B54" s="141" t="e">
        <f>#REF!</f>
        <v>#REF!</v>
      </c>
      <c r="C54" s="141" t="e">
        <f>#REF!</f>
        <v>#REF!</v>
      </c>
      <c r="D54" s="142" t="e">
        <f>PROPER(#REF!)</f>
        <v>#REF!</v>
      </c>
      <c r="E54" s="142" t="e">
        <f>PROPER(#REF!)</f>
        <v>#REF!</v>
      </c>
      <c r="F54" s="135" t="e">
        <f>VLOOKUP(Table1345[[#This Row],[R No.]],'sheet 1'!#REF!,7,FALSE)</f>
        <v>#REF!</v>
      </c>
      <c r="G54" s="135" t="e">
        <f>VLOOKUP(Table1345[[#This Row],[R No.]],'sheet 1'!#REF!,11,FALSE)</f>
        <v>#REF!</v>
      </c>
      <c r="H54" s="135" t="e">
        <f>VLOOKUP(Table1345[[#This Row],[R No.]],'sheet 1'!#REF!,15,FALSE)</f>
        <v>#REF!</v>
      </c>
      <c r="I54" s="135" t="e">
        <f>VLOOKUP(Table1345[[#This Row],[R No.]],'sheet 1'!#REF!,19,FALSE)</f>
        <v>#REF!</v>
      </c>
      <c r="J54" s="135" t="e">
        <f>VLOOKUP(Table1345[[#This Row],[R No.]],'sheet 1'!#REF!,23,FALSE)</f>
        <v>#REF!</v>
      </c>
      <c r="K54" s="136" t="e">
        <f>VLOOKUP(Table1345[[#This Row],[R No.]],'sheet 1'!#REF!,38,FALSE)</f>
        <v>#REF!</v>
      </c>
      <c r="L54" s="143" t="e">
        <f t="shared" ref="L54:L117" si="14">IF(K54&gt;3.99,"A",IF(K54&gt;3.49,"B+",IF(K54&gt;2.99,"B",IF(K54&gt;2.49,"C+",IF(K54&gt;1.99,"C",IF(K54&gt;1.49,"D+",IF(K54&gt;0.99,"D","F")))))))</f>
        <v>#REF!</v>
      </c>
      <c r="M54" s="141" t="e">
        <f t="shared" si="0"/>
        <v>#REF!</v>
      </c>
      <c r="N54" s="182" t="e">
        <f>VLOOKUP(Table1345[[#This Row],[R No.]],'sheet 1'!#REF!,41,FALSE)</f>
        <v>#REF!</v>
      </c>
      <c r="O54" s="138" t="e">
        <f t="shared" si="1"/>
        <v>#REF!</v>
      </c>
      <c r="Q54" s="123" t="e">
        <f t="shared" si="9"/>
        <v>#REF!</v>
      </c>
      <c r="R54" s="123" t="e">
        <f t="shared" si="10"/>
        <v>#REF!</v>
      </c>
      <c r="S54" s="123" t="e">
        <f t="shared" si="11"/>
        <v>#REF!</v>
      </c>
      <c r="T54" s="123" t="e">
        <f t="shared" si="12"/>
        <v>#REF!</v>
      </c>
      <c r="U54" s="123" t="e">
        <f t="shared" si="13"/>
        <v>#REF!</v>
      </c>
      <c r="V54" s="140" t="e">
        <f t="shared" si="7"/>
        <v>#REF!</v>
      </c>
    </row>
    <row r="55" spans="2:22" ht="18" x14ac:dyDescent="0.2">
      <c r="B55" s="141" t="e">
        <f>#REF!</f>
        <v>#REF!</v>
      </c>
      <c r="C55" s="141" t="e">
        <f>#REF!</f>
        <v>#REF!</v>
      </c>
      <c r="D55" s="142" t="e">
        <f>PROPER(#REF!)</f>
        <v>#REF!</v>
      </c>
      <c r="E55" s="142" t="e">
        <f>PROPER(#REF!)</f>
        <v>#REF!</v>
      </c>
      <c r="F55" s="135" t="e">
        <f>VLOOKUP(Table1345[[#This Row],[R No.]],'sheet 1'!#REF!,7,FALSE)</f>
        <v>#REF!</v>
      </c>
      <c r="G55" s="135" t="e">
        <f>VLOOKUP(Table1345[[#This Row],[R No.]],'sheet 1'!#REF!,11,FALSE)</f>
        <v>#REF!</v>
      </c>
      <c r="H55" s="135" t="e">
        <f>VLOOKUP(Table1345[[#This Row],[R No.]],'sheet 1'!#REF!,15,FALSE)</f>
        <v>#REF!</v>
      </c>
      <c r="I55" s="135" t="e">
        <f>VLOOKUP(Table1345[[#This Row],[R No.]],'sheet 1'!#REF!,19,FALSE)</f>
        <v>#REF!</v>
      </c>
      <c r="J55" s="135" t="e">
        <f>VLOOKUP(Table1345[[#This Row],[R No.]],'sheet 1'!#REF!,23,FALSE)</f>
        <v>#REF!</v>
      </c>
      <c r="K55" s="136" t="e">
        <f>VLOOKUP(Table1345[[#This Row],[R No.]],'sheet 1'!#REF!,38,FALSE)</f>
        <v>#REF!</v>
      </c>
      <c r="L55" s="143" t="e">
        <f t="shared" si="14"/>
        <v>#REF!</v>
      </c>
      <c r="M55" s="141" t="e">
        <f t="shared" si="0"/>
        <v>#REF!</v>
      </c>
      <c r="N55" s="182" t="e">
        <f>VLOOKUP(Table1345[[#This Row],[R No.]],'sheet 1'!#REF!,41,FALSE)</f>
        <v>#REF!</v>
      </c>
      <c r="O55" s="138" t="e">
        <f t="shared" si="1"/>
        <v>#REF!</v>
      </c>
      <c r="Q55" s="123" t="e">
        <f t="shared" si="9"/>
        <v>#REF!</v>
      </c>
      <c r="R55" s="123" t="e">
        <f t="shared" si="10"/>
        <v>#REF!</v>
      </c>
      <c r="S55" s="123" t="e">
        <f t="shared" si="11"/>
        <v>#REF!</v>
      </c>
      <c r="T55" s="123" t="e">
        <f t="shared" si="12"/>
        <v>#REF!</v>
      </c>
      <c r="U55" s="123" t="e">
        <f t="shared" si="13"/>
        <v>#REF!</v>
      </c>
      <c r="V55" s="140" t="e">
        <f t="shared" si="7"/>
        <v>#REF!</v>
      </c>
    </row>
    <row r="56" spans="2:22" ht="18" x14ac:dyDescent="0.2">
      <c r="B56" s="141" t="e">
        <f>#REF!</f>
        <v>#REF!</v>
      </c>
      <c r="C56" s="141" t="e">
        <f>#REF!</f>
        <v>#REF!</v>
      </c>
      <c r="D56" s="142" t="e">
        <f>PROPER(#REF!)</f>
        <v>#REF!</v>
      </c>
      <c r="E56" s="142" t="e">
        <f>PROPER(#REF!)</f>
        <v>#REF!</v>
      </c>
      <c r="F56" s="135" t="e">
        <f>VLOOKUP(Table1345[[#This Row],[R No.]],'sheet 1'!#REF!,7,FALSE)</f>
        <v>#REF!</v>
      </c>
      <c r="G56" s="135" t="e">
        <f>VLOOKUP(Table1345[[#This Row],[R No.]],'sheet 1'!#REF!,11,FALSE)</f>
        <v>#REF!</v>
      </c>
      <c r="H56" s="135" t="e">
        <f>VLOOKUP(Table1345[[#This Row],[R No.]],'sheet 1'!#REF!,15,FALSE)</f>
        <v>#REF!</v>
      </c>
      <c r="I56" s="135" t="e">
        <f>VLOOKUP(Table1345[[#This Row],[R No.]],'sheet 1'!#REF!,19,FALSE)</f>
        <v>#REF!</v>
      </c>
      <c r="J56" s="135" t="e">
        <f>VLOOKUP(Table1345[[#This Row],[R No.]],'sheet 1'!#REF!,23,FALSE)</f>
        <v>#REF!</v>
      </c>
      <c r="K56" s="136" t="e">
        <f>VLOOKUP(Table1345[[#This Row],[R No.]],'sheet 1'!#REF!,38,FALSE)</f>
        <v>#REF!</v>
      </c>
      <c r="L56" s="143" t="e">
        <f t="shared" si="14"/>
        <v>#REF!</v>
      </c>
      <c r="M56" s="141" t="e">
        <f t="shared" si="0"/>
        <v>#REF!</v>
      </c>
      <c r="N56" s="182" t="e">
        <f>VLOOKUP(Table1345[[#This Row],[R No.]],'sheet 1'!#REF!,41,FALSE)</f>
        <v>#REF!</v>
      </c>
      <c r="O56" s="138" t="e">
        <f t="shared" si="1"/>
        <v>#REF!</v>
      </c>
      <c r="Q56" s="123" t="e">
        <f t="shared" si="9"/>
        <v>#REF!</v>
      </c>
      <c r="R56" s="123" t="e">
        <f t="shared" si="10"/>
        <v>#REF!</v>
      </c>
      <c r="S56" s="123" t="e">
        <f t="shared" si="11"/>
        <v>#REF!</v>
      </c>
      <c r="T56" s="123" t="e">
        <f t="shared" si="12"/>
        <v>#REF!</v>
      </c>
      <c r="U56" s="123" t="e">
        <f t="shared" si="13"/>
        <v>#REF!</v>
      </c>
      <c r="V56" s="140" t="e">
        <f t="shared" si="7"/>
        <v>#REF!</v>
      </c>
    </row>
    <row r="57" spans="2:22" ht="18" x14ac:dyDescent="0.2">
      <c r="B57" s="141" t="e">
        <f>#REF!</f>
        <v>#REF!</v>
      </c>
      <c r="C57" s="141" t="e">
        <f>#REF!</f>
        <v>#REF!</v>
      </c>
      <c r="D57" s="142" t="e">
        <f>PROPER(#REF!)</f>
        <v>#REF!</v>
      </c>
      <c r="E57" s="142" t="e">
        <f>PROPER(#REF!)</f>
        <v>#REF!</v>
      </c>
      <c r="F57" s="135" t="e">
        <f>VLOOKUP(Table1345[[#This Row],[R No.]],'sheet 1'!#REF!,7,FALSE)</f>
        <v>#REF!</v>
      </c>
      <c r="G57" s="135" t="e">
        <f>VLOOKUP(Table1345[[#This Row],[R No.]],'sheet 1'!#REF!,11,FALSE)</f>
        <v>#REF!</v>
      </c>
      <c r="H57" s="135" t="e">
        <f>VLOOKUP(Table1345[[#This Row],[R No.]],'sheet 1'!#REF!,15,FALSE)</f>
        <v>#REF!</v>
      </c>
      <c r="I57" s="135" t="e">
        <f>VLOOKUP(Table1345[[#This Row],[R No.]],'sheet 1'!#REF!,19,FALSE)</f>
        <v>#REF!</v>
      </c>
      <c r="J57" s="135" t="e">
        <f>VLOOKUP(Table1345[[#This Row],[R No.]],'sheet 1'!#REF!,23,FALSE)</f>
        <v>#REF!</v>
      </c>
      <c r="K57" s="136" t="e">
        <f>VLOOKUP(Table1345[[#This Row],[R No.]],'sheet 1'!#REF!,38,FALSE)</f>
        <v>#REF!</v>
      </c>
      <c r="L57" s="143" t="e">
        <f t="shared" si="14"/>
        <v>#REF!</v>
      </c>
      <c r="M57" s="141" t="e">
        <f t="shared" si="0"/>
        <v>#REF!</v>
      </c>
      <c r="N57" s="182" t="e">
        <f>VLOOKUP(Table1345[[#This Row],[R No.]],'sheet 1'!#REF!,41,FALSE)</f>
        <v>#REF!</v>
      </c>
      <c r="O57" s="138" t="e">
        <f t="shared" si="1"/>
        <v>#REF!</v>
      </c>
      <c r="Q57" s="123" t="e">
        <f t="shared" si="9"/>
        <v>#REF!</v>
      </c>
      <c r="R57" s="123" t="e">
        <f t="shared" si="10"/>
        <v>#REF!</v>
      </c>
      <c r="S57" s="123" t="e">
        <f t="shared" si="11"/>
        <v>#REF!</v>
      </c>
      <c r="T57" s="123" t="e">
        <f t="shared" si="12"/>
        <v>#REF!</v>
      </c>
      <c r="U57" s="123" t="e">
        <f t="shared" si="13"/>
        <v>#REF!</v>
      </c>
      <c r="V57" s="140" t="e">
        <f t="shared" si="7"/>
        <v>#REF!</v>
      </c>
    </row>
    <row r="58" spans="2:22" ht="18" x14ac:dyDescent="0.2">
      <c r="B58" s="141" t="e">
        <f>#REF!</f>
        <v>#REF!</v>
      </c>
      <c r="C58" s="141" t="e">
        <f>#REF!</f>
        <v>#REF!</v>
      </c>
      <c r="D58" s="142" t="e">
        <f>PROPER(#REF!)</f>
        <v>#REF!</v>
      </c>
      <c r="E58" s="142" t="e">
        <f>PROPER(#REF!)</f>
        <v>#REF!</v>
      </c>
      <c r="F58" s="135" t="e">
        <f>VLOOKUP(Table1345[[#This Row],[R No.]],'sheet 1'!#REF!,7,FALSE)</f>
        <v>#REF!</v>
      </c>
      <c r="G58" s="135" t="e">
        <f>VLOOKUP(Table1345[[#This Row],[R No.]],'sheet 1'!#REF!,11,FALSE)</f>
        <v>#REF!</v>
      </c>
      <c r="H58" s="135" t="e">
        <f>VLOOKUP(Table1345[[#This Row],[R No.]],'sheet 1'!#REF!,15,FALSE)</f>
        <v>#REF!</v>
      </c>
      <c r="I58" s="135" t="e">
        <f>VLOOKUP(Table1345[[#This Row],[R No.]],'sheet 1'!#REF!,19,FALSE)</f>
        <v>#REF!</v>
      </c>
      <c r="J58" s="135" t="e">
        <f>VLOOKUP(Table1345[[#This Row],[R No.]],'sheet 1'!#REF!,23,FALSE)</f>
        <v>#REF!</v>
      </c>
      <c r="K58" s="136" t="e">
        <f>VLOOKUP(Table1345[[#This Row],[R No.]],'sheet 1'!#REF!,38,FALSE)</f>
        <v>#REF!</v>
      </c>
      <c r="L58" s="143" t="e">
        <f t="shared" si="14"/>
        <v>#REF!</v>
      </c>
      <c r="M58" s="141" t="e">
        <f t="shared" si="0"/>
        <v>#REF!</v>
      </c>
      <c r="N58" s="182" t="e">
        <f>VLOOKUP(Table1345[[#This Row],[R No.]],'sheet 1'!#REF!,41,FALSE)</f>
        <v>#REF!</v>
      </c>
      <c r="O58" s="138" t="e">
        <f t="shared" si="1"/>
        <v>#REF!</v>
      </c>
      <c r="Q58" s="123" t="e">
        <f t="shared" si="9"/>
        <v>#REF!</v>
      </c>
      <c r="R58" s="123" t="e">
        <f t="shared" si="10"/>
        <v>#REF!</v>
      </c>
      <c r="S58" s="123" t="e">
        <f t="shared" si="11"/>
        <v>#REF!</v>
      </c>
      <c r="T58" s="123" t="e">
        <f t="shared" si="12"/>
        <v>#REF!</v>
      </c>
      <c r="U58" s="123" t="e">
        <f t="shared" si="13"/>
        <v>#REF!</v>
      </c>
      <c r="V58" s="140" t="e">
        <f t="shared" si="7"/>
        <v>#REF!</v>
      </c>
    </row>
    <row r="59" spans="2:22" ht="18" x14ac:dyDescent="0.2">
      <c r="B59" s="141" t="e">
        <f>#REF!</f>
        <v>#REF!</v>
      </c>
      <c r="C59" s="141" t="e">
        <f>#REF!</f>
        <v>#REF!</v>
      </c>
      <c r="D59" s="142" t="e">
        <f>PROPER(#REF!)</f>
        <v>#REF!</v>
      </c>
      <c r="E59" s="142" t="e">
        <f>PROPER(#REF!)</f>
        <v>#REF!</v>
      </c>
      <c r="F59" s="135" t="e">
        <f>VLOOKUP(Table1345[[#This Row],[R No.]],'sheet 1'!#REF!,7,FALSE)</f>
        <v>#REF!</v>
      </c>
      <c r="G59" s="135" t="e">
        <f>VLOOKUP(Table1345[[#This Row],[R No.]],'sheet 1'!#REF!,11,FALSE)</f>
        <v>#REF!</v>
      </c>
      <c r="H59" s="135" t="e">
        <f>VLOOKUP(Table1345[[#This Row],[R No.]],'sheet 1'!#REF!,15,FALSE)</f>
        <v>#REF!</v>
      </c>
      <c r="I59" s="135" t="e">
        <f>VLOOKUP(Table1345[[#This Row],[R No.]],'sheet 1'!#REF!,19,FALSE)</f>
        <v>#REF!</v>
      </c>
      <c r="J59" s="135" t="e">
        <f>VLOOKUP(Table1345[[#This Row],[R No.]],'sheet 1'!#REF!,23,FALSE)</f>
        <v>#REF!</v>
      </c>
      <c r="K59" s="136" t="e">
        <f>VLOOKUP(Table1345[[#This Row],[R No.]],'sheet 1'!#REF!,38,FALSE)</f>
        <v>#REF!</v>
      </c>
      <c r="L59" s="143" t="e">
        <f t="shared" si="14"/>
        <v>#REF!</v>
      </c>
      <c r="M59" s="141" t="e">
        <f t="shared" si="0"/>
        <v>#REF!</v>
      </c>
      <c r="N59" s="182" t="e">
        <f>VLOOKUP(Table1345[[#This Row],[R No.]],'sheet 1'!#REF!,41,FALSE)</f>
        <v>#REF!</v>
      </c>
      <c r="O59" s="138" t="e">
        <f t="shared" si="1"/>
        <v>#REF!</v>
      </c>
      <c r="Q59" s="123" t="e">
        <f t="shared" si="9"/>
        <v>#REF!</v>
      </c>
      <c r="R59" s="123" t="e">
        <f t="shared" si="10"/>
        <v>#REF!</v>
      </c>
      <c r="S59" s="123" t="e">
        <f t="shared" si="11"/>
        <v>#REF!</v>
      </c>
      <c r="T59" s="123" t="e">
        <f t="shared" si="12"/>
        <v>#REF!</v>
      </c>
      <c r="U59" s="123" t="e">
        <f t="shared" si="13"/>
        <v>#REF!</v>
      </c>
      <c r="V59" s="140" t="e">
        <f t="shared" si="7"/>
        <v>#REF!</v>
      </c>
    </row>
    <row r="60" spans="2:22" ht="18" x14ac:dyDescent="0.2">
      <c r="B60" s="141" t="e">
        <f>#REF!</f>
        <v>#REF!</v>
      </c>
      <c r="C60" s="141" t="e">
        <f>#REF!</f>
        <v>#REF!</v>
      </c>
      <c r="D60" s="142" t="e">
        <f>PROPER(#REF!)</f>
        <v>#REF!</v>
      </c>
      <c r="E60" s="142" t="e">
        <f>PROPER(#REF!)</f>
        <v>#REF!</v>
      </c>
      <c r="F60" s="135" t="e">
        <f>VLOOKUP(Table1345[[#This Row],[R No.]],'sheet 1'!#REF!,7,FALSE)</f>
        <v>#REF!</v>
      </c>
      <c r="G60" s="135" t="e">
        <f>VLOOKUP(Table1345[[#This Row],[R No.]],'sheet 1'!#REF!,11,FALSE)</f>
        <v>#REF!</v>
      </c>
      <c r="H60" s="135" t="e">
        <f>VLOOKUP(Table1345[[#This Row],[R No.]],'sheet 1'!#REF!,15,FALSE)</f>
        <v>#REF!</v>
      </c>
      <c r="I60" s="135" t="e">
        <f>VLOOKUP(Table1345[[#This Row],[R No.]],'sheet 1'!#REF!,19,FALSE)</f>
        <v>#REF!</v>
      </c>
      <c r="J60" s="135" t="e">
        <f>VLOOKUP(Table1345[[#This Row],[R No.]],'sheet 1'!#REF!,23,FALSE)</f>
        <v>#REF!</v>
      </c>
      <c r="K60" s="136" t="e">
        <f>VLOOKUP(Table1345[[#This Row],[R No.]],'sheet 1'!#REF!,38,FALSE)</f>
        <v>#REF!</v>
      </c>
      <c r="L60" s="143" t="e">
        <f t="shared" si="14"/>
        <v>#REF!</v>
      </c>
      <c r="M60" s="141" t="e">
        <f t="shared" si="0"/>
        <v>#REF!</v>
      </c>
      <c r="N60" s="182" t="e">
        <f>VLOOKUP(Table1345[[#This Row],[R No.]],'sheet 1'!#REF!,41,FALSE)</f>
        <v>#REF!</v>
      </c>
      <c r="O60" s="138" t="e">
        <f t="shared" si="1"/>
        <v>#REF!</v>
      </c>
      <c r="Q60" s="123" t="e">
        <f t="shared" si="9"/>
        <v>#REF!</v>
      </c>
      <c r="R60" s="123" t="e">
        <f t="shared" si="10"/>
        <v>#REF!</v>
      </c>
      <c r="S60" s="123" t="e">
        <f t="shared" si="11"/>
        <v>#REF!</v>
      </c>
      <c r="T60" s="123" t="e">
        <f t="shared" si="12"/>
        <v>#REF!</v>
      </c>
      <c r="U60" s="123" t="e">
        <f t="shared" si="13"/>
        <v>#REF!</v>
      </c>
      <c r="V60" s="140" t="e">
        <f t="shared" si="7"/>
        <v>#REF!</v>
      </c>
    </row>
    <row r="61" spans="2:22" ht="18" x14ac:dyDescent="0.2">
      <c r="B61" s="141" t="e">
        <f>#REF!</f>
        <v>#REF!</v>
      </c>
      <c r="C61" s="141" t="e">
        <f>#REF!</f>
        <v>#REF!</v>
      </c>
      <c r="D61" s="142" t="e">
        <f>PROPER(#REF!)</f>
        <v>#REF!</v>
      </c>
      <c r="E61" s="142" t="e">
        <f>PROPER(#REF!)</f>
        <v>#REF!</v>
      </c>
      <c r="F61" s="135" t="e">
        <f>VLOOKUP(Table1345[[#This Row],[R No.]],'sheet 1'!#REF!,7,FALSE)</f>
        <v>#REF!</v>
      </c>
      <c r="G61" s="135" t="e">
        <f>VLOOKUP(Table1345[[#This Row],[R No.]],'sheet 1'!#REF!,11,FALSE)</f>
        <v>#REF!</v>
      </c>
      <c r="H61" s="135" t="e">
        <f>VLOOKUP(Table1345[[#This Row],[R No.]],'sheet 1'!#REF!,15,FALSE)</f>
        <v>#REF!</v>
      </c>
      <c r="I61" s="135" t="e">
        <f>VLOOKUP(Table1345[[#This Row],[R No.]],'sheet 1'!#REF!,19,FALSE)</f>
        <v>#REF!</v>
      </c>
      <c r="J61" s="135" t="e">
        <f>VLOOKUP(Table1345[[#This Row],[R No.]],'sheet 1'!#REF!,23,FALSE)</f>
        <v>#REF!</v>
      </c>
      <c r="K61" s="136" t="e">
        <f>VLOOKUP(Table1345[[#This Row],[R No.]],'sheet 1'!#REF!,38,FALSE)</f>
        <v>#REF!</v>
      </c>
      <c r="L61" s="143" t="e">
        <f t="shared" si="14"/>
        <v>#REF!</v>
      </c>
      <c r="M61" s="141" t="e">
        <f t="shared" si="0"/>
        <v>#REF!</v>
      </c>
      <c r="N61" s="182" t="e">
        <f>VLOOKUP(Table1345[[#This Row],[R No.]],'sheet 1'!#REF!,41,FALSE)</f>
        <v>#REF!</v>
      </c>
      <c r="O61" s="138" t="e">
        <f t="shared" si="1"/>
        <v>#REF!</v>
      </c>
      <c r="Q61" s="123" t="e">
        <f t="shared" si="9"/>
        <v>#REF!</v>
      </c>
      <c r="R61" s="123" t="e">
        <f t="shared" si="10"/>
        <v>#REF!</v>
      </c>
      <c r="S61" s="123" t="e">
        <f t="shared" si="11"/>
        <v>#REF!</v>
      </c>
      <c r="T61" s="123" t="e">
        <f t="shared" si="12"/>
        <v>#REF!</v>
      </c>
      <c r="U61" s="123" t="e">
        <f t="shared" si="13"/>
        <v>#REF!</v>
      </c>
      <c r="V61" s="140" t="e">
        <f t="shared" si="7"/>
        <v>#REF!</v>
      </c>
    </row>
    <row r="62" spans="2:22" ht="18" x14ac:dyDescent="0.2">
      <c r="B62" s="141" t="e">
        <f>#REF!</f>
        <v>#REF!</v>
      </c>
      <c r="C62" s="141" t="e">
        <f>#REF!</f>
        <v>#REF!</v>
      </c>
      <c r="D62" s="142" t="e">
        <f>PROPER(#REF!)</f>
        <v>#REF!</v>
      </c>
      <c r="E62" s="142" t="e">
        <f>PROPER(#REF!)</f>
        <v>#REF!</v>
      </c>
      <c r="F62" s="135" t="e">
        <f>VLOOKUP(Table1345[[#This Row],[R No.]],'sheet 1'!#REF!,7,FALSE)</f>
        <v>#REF!</v>
      </c>
      <c r="G62" s="135" t="e">
        <f>VLOOKUP(Table1345[[#This Row],[R No.]],'sheet 1'!#REF!,11,FALSE)</f>
        <v>#REF!</v>
      </c>
      <c r="H62" s="135" t="e">
        <f>VLOOKUP(Table1345[[#This Row],[R No.]],'sheet 1'!#REF!,15,FALSE)</f>
        <v>#REF!</v>
      </c>
      <c r="I62" s="135" t="e">
        <f>VLOOKUP(Table1345[[#This Row],[R No.]],'sheet 1'!#REF!,19,FALSE)</f>
        <v>#REF!</v>
      </c>
      <c r="J62" s="135" t="e">
        <f>VLOOKUP(Table1345[[#This Row],[R No.]],'sheet 1'!#REF!,23,FALSE)</f>
        <v>#REF!</v>
      </c>
      <c r="K62" s="136" t="e">
        <f>VLOOKUP(Table1345[[#This Row],[R No.]],'sheet 1'!#REF!,38,FALSE)</f>
        <v>#REF!</v>
      </c>
      <c r="L62" s="143" t="e">
        <f t="shared" si="14"/>
        <v>#REF!</v>
      </c>
      <c r="M62" s="141" t="e">
        <f t="shared" si="0"/>
        <v>#REF!</v>
      </c>
      <c r="N62" s="182" t="e">
        <f>VLOOKUP(Table1345[[#This Row],[R No.]],'sheet 1'!#REF!,41,FALSE)</f>
        <v>#REF!</v>
      </c>
      <c r="O62" s="138" t="e">
        <f t="shared" si="1"/>
        <v>#REF!</v>
      </c>
      <c r="Q62" s="123" t="e">
        <f t="shared" si="9"/>
        <v>#REF!</v>
      </c>
      <c r="R62" s="123" t="e">
        <f t="shared" si="10"/>
        <v>#REF!</v>
      </c>
      <c r="S62" s="123" t="e">
        <f t="shared" si="11"/>
        <v>#REF!</v>
      </c>
      <c r="T62" s="123" t="e">
        <f t="shared" si="12"/>
        <v>#REF!</v>
      </c>
      <c r="U62" s="123" t="e">
        <f t="shared" si="13"/>
        <v>#REF!</v>
      </c>
      <c r="V62" s="140" t="e">
        <f t="shared" si="7"/>
        <v>#REF!</v>
      </c>
    </row>
    <row r="63" spans="2:22" ht="18" x14ac:dyDescent="0.2">
      <c r="B63" s="141" t="e">
        <f>#REF!</f>
        <v>#REF!</v>
      </c>
      <c r="C63" s="141" t="e">
        <f>#REF!</f>
        <v>#REF!</v>
      </c>
      <c r="D63" s="142" t="e">
        <f>PROPER(#REF!)</f>
        <v>#REF!</v>
      </c>
      <c r="E63" s="142" t="e">
        <f>PROPER(#REF!)</f>
        <v>#REF!</v>
      </c>
      <c r="F63" s="135" t="e">
        <f>VLOOKUP(Table1345[[#This Row],[R No.]],'sheet 1'!#REF!,7,FALSE)</f>
        <v>#REF!</v>
      </c>
      <c r="G63" s="135" t="e">
        <f>VLOOKUP(Table1345[[#This Row],[R No.]],'sheet 1'!#REF!,11,FALSE)</f>
        <v>#REF!</v>
      </c>
      <c r="H63" s="135" t="e">
        <f>VLOOKUP(Table1345[[#This Row],[R No.]],'sheet 1'!#REF!,15,FALSE)</f>
        <v>#REF!</v>
      </c>
      <c r="I63" s="135" t="e">
        <f>VLOOKUP(Table1345[[#This Row],[R No.]],'sheet 1'!#REF!,19,FALSE)</f>
        <v>#REF!</v>
      </c>
      <c r="J63" s="135" t="e">
        <f>VLOOKUP(Table1345[[#This Row],[R No.]],'sheet 1'!#REF!,23,FALSE)</f>
        <v>#REF!</v>
      </c>
      <c r="K63" s="136" t="e">
        <f>VLOOKUP(Table1345[[#This Row],[R No.]],'sheet 1'!#REF!,38,FALSE)</f>
        <v>#REF!</v>
      </c>
      <c r="L63" s="143" t="e">
        <f t="shared" si="14"/>
        <v>#REF!</v>
      </c>
      <c r="M63" s="141" t="e">
        <f t="shared" si="0"/>
        <v>#REF!</v>
      </c>
      <c r="N63" s="182" t="e">
        <f>VLOOKUP(Table1345[[#This Row],[R No.]],'sheet 1'!#REF!,41,FALSE)</f>
        <v>#REF!</v>
      </c>
      <c r="O63" s="138" t="e">
        <f t="shared" si="1"/>
        <v>#REF!</v>
      </c>
      <c r="Q63" s="123" t="e">
        <f t="shared" si="9"/>
        <v>#REF!</v>
      </c>
      <c r="R63" s="123" t="e">
        <f t="shared" si="10"/>
        <v>#REF!</v>
      </c>
      <c r="S63" s="123" t="e">
        <f t="shared" si="11"/>
        <v>#REF!</v>
      </c>
      <c r="T63" s="123" t="e">
        <f t="shared" si="12"/>
        <v>#REF!</v>
      </c>
      <c r="U63" s="123" t="e">
        <f t="shared" si="13"/>
        <v>#REF!</v>
      </c>
      <c r="V63" s="140" t="e">
        <f t="shared" si="7"/>
        <v>#REF!</v>
      </c>
    </row>
    <row r="64" spans="2:22" ht="18" x14ac:dyDescent="0.2">
      <c r="B64" s="141" t="e">
        <f>#REF!</f>
        <v>#REF!</v>
      </c>
      <c r="C64" s="141" t="e">
        <f>#REF!</f>
        <v>#REF!</v>
      </c>
      <c r="D64" s="142" t="e">
        <f>PROPER(#REF!)</f>
        <v>#REF!</v>
      </c>
      <c r="E64" s="142" t="e">
        <f>PROPER(#REF!)</f>
        <v>#REF!</v>
      </c>
      <c r="F64" s="135" t="e">
        <f>VLOOKUP(Table1345[[#This Row],[R No.]],'sheet 1'!#REF!,7,FALSE)</f>
        <v>#REF!</v>
      </c>
      <c r="G64" s="135" t="e">
        <f>VLOOKUP(Table1345[[#This Row],[R No.]],'sheet 1'!#REF!,11,FALSE)</f>
        <v>#REF!</v>
      </c>
      <c r="H64" s="135" t="e">
        <f>VLOOKUP(Table1345[[#This Row],[R No.]],'sheet 1'!#REF!,15,FALSE)</f>
        <v>#REF!</v>
      </c>
      <c r="I64" s="135" t="e">
        <f>VLOOKUP(Table1345[[#This Row],[R No.]],'sheet 1'!#REF!,19,FALSE)</f>
        <v>#REF!</v>
      </c>
      <c r="J64" s="135" t="e">
        <f>VLOOKUP(Table1345[[#This Row],[R No.]],'sheet 1'!#REF!,23,FALSE)</f>
        <v>#REF!</v>
      </c>
      <c r="K64" s="136" t="e">
        <f>VLOOKUP(Table1345[[#This Row],[R No.]],'sheet 1'!#REF!,38,FALSE)</f>
        <v>#REF!</v>
      </c>
      <c r="L64" s="143" t="e">
        <f t="shared" si="14"/>
        <v>#REF!</v>
      </c>
      <c r="M64" s="141" t="e">
        <f t="shared" si="0"/>
        <v>#REF!</v>
      </c>
      <c r="N64" s="182" t="e">
        <f>VLOOKUP(Table1345[[#This Row],[R No.]],'sheet 1'!#REF!,41,FALSE)</f>
        <v>#REF!</v>
      </c>
      <c r="O64" s="138" t="e">
        <f t="shared" si="1"/>
        <v>#REF!</v>
      </c>
      <c r="Q64" s="123" t="e">
        <f t="shared" si="9"/>
        <v>#REF!</v>
      </c>
      <c r="R64" s="123" t="e">
        <f t="shared" si="10"/>
        <v>#REF!</v>
      </c>
      <c r="S64" s="123" t="e">
        <f t="shared" si="11"/>
        <v>#REF!</v>
      </c>
      <c r="T64" s="123" t="e">
        <f t="shared" si="12"/>
        <v>#REF!</v>
      </c>
      <c r="U64" s="123" t="e">
        <f t="shared" si="13"/>
        <v>#REF!</v>
      </c>
      <c r="V64" s="140" t="e">
        <f t="shared" si="7"/>
        <v>#REF!</v>
      </c>
    </row>
    <row r="65" spans="2:22 16044:16044" ht="18" x14ac:dyDescent="0.2">
      <c r="B65" s="141" t="e">
        <f>#REF!</f>
        <v>#REF!</v>
      </c>
      <c r="C65" s="141" t="e">
        <f>#REF!</f>
        <v>#REF!</v>
      </c>
      <c r="D65" s="142" t="e">
        <f>PROPER(#REF!)</f>
        <v>#REF!</v>
      </c>
      <c r="E65" s="142" t="e">
        <f>PROPER(#REF!)</f>
        <v>#REF!</v>
      </c>
      <c r="F65" s="135" t="e">
        <f>VLOOKUP(Table1345[[#This Row],[R No.]],'sheet 1'!#REF!,7,FALSE)</f>
        <v>#REF!</v>
      </c>
      <c r="G65" s="135" t="e">
        <f>VLOOKUP(Table1345[[#This Row],[R No.]],'sheet 1'!#REF!,11,FALSE)</f>
        <v>#REF!</v>
      </c>
      <c r="H65" s="135" t="e">
        <f>VLOOKUP(Table1345[[#This Row],[R No.]],'sheet 1'!#REF!,15,FALSE)</f>
        <v>#REF!</v>
      </c>
      <c r="I65" s="135" t="e">
        <f>VLOOKUP(Table1345[[#This Row],[R No.]],'sheet 1'!#REF!,19,FALSE)</f>
        <v>#REF!</v>
      </c>
      <c r="J65" s="135" t="e">
        <f>VLOOKUP(Table1345[[#This Row],[R No.]],'sheet 1'!#REF!,23,FALSE)</f>
        <v>#REF!</v>
      </c>
      <c r="K65" s="136" t="e">
        <f>VLOOKUP(Table1345[[#This Row],[R No.]],'sheet 1'!#REF!,38,FALSE)</f>
        <v>#REF!</v>
      </c>
      <c r="L65" s="143" t="e">
        <f t="shared" si="14"/>
        <v>#REF!</v>
      </c>
      <c r="M65" s="141" t="e">
        <f t="shared" si="0"/>
        <v>#REF!</v>
      </c>
      <c r="N65" s="182" t="e">
        <f>VLOOKUP(Table1345[[#This Row],[R No.]],'sheet 1'!#REF!,41,FALSE)</f>
        <v>#REF!</v>
      </c>
      <c r="O65" s="138" t="e">
        <f t="shared" si="1"/>
        <v>#REF!</v>
      </c>
      <c r="Q65" s="123" t="e">
        <f t="shared" si="9"/>
        <v>#REF!</v>
      </c>
      <c r="R65" s="123" t="e">
        <f t="shared" si="10"/>
        <v>#REF!</v>
      </c>
      <c r="S65" s="123" t="e">
        <f t="shared" si="11"/>
        <v>#REF!</v>
      </c>
      <c r="T65" s="123" t="e">
        <f t="shared" si="12"/>
        <v>#REF!</v>
      </c>
      <c r="U65" s="123" t="e">
        <f t="shared" si="13"/>
        <v>#REF!</v>
      </c>
      <c r="V65" s="140" t="e">
        <f t="shared" si="7"/>
        <v>#REF!</v>
      </c>
    </row>
    <row r="66" spans="2:22 16044:16044" ht="18" x14ac:dyDescent="0.2">
      <c r="B66" s="141" t="e">
        <f>#REF!</f>
        <v>#REF!</v>
      </c>
      <c r="C66" s="141" t="e">
        <f>#REF!</f>
        <v>#REF!</v>
      </c>
      <c r="D66" s="142" t="e">
        <f>PROPER(#REF!)</f>
        <v>#REF!</v>
      </c>
      <c r="E66" s="142" t="e">
        <f>PROPER(#REF!)</f>
        <v>#REF!</v>
      </c>
      <c r="F66" s="135" t="e">
        <f>VLOOKUP(Table1345[[#This Row],[R No.]],'sheet 1'!#REF!,7,FALSE)</f>
        <v>#REF!</v>
      </c>
      <c r="G66" s="135" t="e">
        <f>VLOOKUP(Table1345[[#This Row],[R No.]],'sheet 1'!#REF!,11,FALSE)</f>
        <v>#REF!</v>
      </c>
      <c r="H66" s="135" t="e">
        <f>VLOOKUP(Table1345[[#This Row],[R No.]],'sheet 1'!#REF!,15,FALSE)</f>
        <v>#REF!</v>
      </c>
      <c r="I66" s="135" t="e">
        <f>VLOOKUP(Table1345[[#This Row],[R No.]],'sheet 1'!#REF!,19,FALSE)</f>
        <v>#REF!</v>
      </c>
      <c r="J66" s="135" t="e">
        <f>VLOOKUP(Table1345[[#This Row],[R No.]],'sheet 1'!#REF!,23,FALSE)</f>
        <v>#REF!</v>
      </c>
      <c r="K66" s="136" t="e">
        <f>VLOOKUP(Table1345[[#This Row],[R No.]],'sheet 1'!#REF!,38,FALSE)</f>
        <v>#REF!</v>
      </c>
      <c r="L66" s="143" t="e">
        <f t="shared" si="14"/>
        <v>#REF!</v>
      </c>
      <c r="M66" s="141" t="e">
        <f t="shared" si="0"/>
        <v>#REF!</v>
      </c>
      <c r="N66" s="182" t="e">
        <f>VLOOKUP(Table1345[[#This Row],[R No.]],'sheet 1'!#REF!,41,FALSE)</f>
        <v>#REF!</v>
      </c>
      <c r="O66" s="138" t="e">
        <f t="shared" si="1"/>
        <v>#REF!</v>
      </c>
      <c r="Q66" s="123" t="e">
        <f t="shared" si="9"/>
        <v>#REF!</v>
      </c>
      <c r="R66" s="123" t="e">
        <f t="shared" si="10"/>
        <v>#REF!</v>
      </c>
      <c r="S66" s="123" t="e">
        <f t="shared" si="11"/>
        <v>#REF!</v>
      </c>
      <c r="T66" s="123" t="e">
        <f t="shared" si="12"/>
        <v>#REF!</v>
      </c>
      <c r="U66" s="123" t="e">
        <f t="shared" si="13"/>
        <v>#REF!</v>
      </c>
      <c r="V66" s="140" t="e">
        <f t="shared" si="7"/>
        <v>#REF!</v>
      </c>
    </row>
    <row r="67" spans="2:22 16044:16044" ht="18" x14ac:dyDescent="0.2">
      <c r="B67" s="141" t="e">
        <f>#REF!</f>
        <v>#REF!</v>
      </c>
      <c r="C67" s="141" t="e">
        <f>#REF!</f>
        <v>#REF!</v>
      </c>
      <c r="D67" s="142" t="e">
        <f>PROPER(#REF!)</f>
        <v>#REF!</v>
      </c>
      <c r="E67" s="142" t="e">
        <f>PROPER(#REF!)</f>
        <v>#REF!</v>
      </c>
      <c r="F67" s="135" t="e">
        <f>VLOOKUP(Table1345[[#This Row],[R No.]],'sheet 1'!#REF!,7,FALSE)</f>
        <v>#REF!</v>
      </c>
      <c r="G67" s="135" t="e">
        <f>VLOOKUP(Table1345[[#This Row],[R No.]],'sheet 1'!#REF!,11,FALSE)</f>
        <v>#REF!</v>
      </c>
      <c r="H67" s="135" t="e">
        <f>VLOOKUP(Table1345[[#This Row],[R No.]],'sheet 1'!#REF!,15,FALSE)</f>
        <v>#REF!</v>
      </c>
      <c r="I67" s="135" t="e">
        <f>VLOOKUP(Table1345[[#This Row],[R No.]],'sheet 1'!#REF!,19,FALSE)</f>
        <v>#REF!</v>
      </c>
      <c r="J67" s="135" t="e">
        <f>VLOOKUP(Table1345[[#This Row],[R No.]],'sheet 1'!#REF!,23,FALSE)</f>
        <v>#REF!</v>
      </c>
      <c r="K67" s="136" t="e">
        <f>VLOOKUP(Table1345[[#This Row],[R No.]],'sheet 1'!#REF!,38,FALSE)</f>
        <v>#REF!</v>
      </c>
      <c r="L67" s="143" t="e">
        <f t="shared" si="14"/>
        <v>#REF!</v>
      </c>
      <c r="M67" s="141" t="e">
        <f t="shared" si="0"/>
        <v>#REF!</v>
      </c>
      <c r="N67" s="182" t="e">
        <f>VLOOKUP(Table1345[[#This Row],[R No.]],'sheet 1'!#REF!,41,FALSE)</f>
        <v>#REF!</v>
      </c>
      <c r="O67" s="138" t="e">
        <f t="shared" si="1"/>
        <v>#REF!</v>
      </c>
      <c r="Q67" s="123" t="e">
        <f t="shared" si="9"/>
        <v>#REF!</v>
      </c>
      <c r="R67" s="123" t="e">
        <f t="shared" si="10"/>
        <v>#REF!</v>
      </c>
      <c r="S67" s="123" t="e">
        <f t="shared" si="11"/>
        <v>#REF!</v>
      </c>
      <c r="T67" s="123" t="e">
        <f t="shared" si="12"/>
        <v>#REF!</v>
      </c>
      <c r="U67" s="123" t="e">
        <f t="shared" si="13"/>
        <v>#REF!</v>
      </c>
      <c r="V67" s="140" t="e">
        <f t="shared" si="7"/>
        <v>#REF!</v>
      </c>
    </row>
    <row r="68" spans="2:22 16044:16044" ht="18" x14ac:dyDescent="0.2">
      <c r="B68" s="141" t="e">
        <f>#REF!</f>
        <v>#REF!</v>
      </c>
      <c r="C68" s="141" t="e">
        <f>#REF!</f>
        <v>#REF!</v>
      </c>
      <c r="D68" s="142" t="e">
        <f>PROPER(#REF!)</f>
        <v>#REF!</v>
      </c>
      <c r="E68" s="142" t="e">
        <f>PROPER(#REF!)</f>
        <v>#REF!</v>
      </c>
      <c r="F68" s="135" t="e">
        <f>VLOOKUP(Table1345[[#This Row],[R No.]],'sheet 1'!#REF!,7,FALSE)</f>
        <v>#REF!</v>
      </c>
      <c r="G68" s="135" t="e">
        <f>VLOOKUP(Table1345[[#This Row],[R No.]],'sheet 1'!#REF!,11,FALSE)</f>
        <v>#REF!</v>
      </c>
      <c r="H68" s="135" t="e">
        <f>VLOOKUP(Table1345[[#This Row],[R No.]],'sheet 1'!#REF!,15,FALSE)</f>
        <v>#REF!</v>
      </c>
      <c r="I68" s="135" t="e">
        <f>VLOOKUP(Table1345[[#This Row],[R No.]],'sheet 1'!#REF!,19,FALSE)</f>
        <v>#REF!</v>
      </c>
      <c r="J68" s="135" t="e">
        <f>VLOOKUP(Table1345[[#This Row],[R No.]],'sheet 1'!#REF!,23,FALSE)</f>
        <v>#REF!</v>
      </c>
      <c r="K68" s="136" t="e">
        <f>VLOOKUP(Table1345[[#This Row],[R No.]],'sheet 1'!#REF!,38,FALSE)</f>
        <v>#REF!</v>
      </c>
      <c r="L68" s="143" t="e">
        <f t="shared" si="14"/>
        <v>#REF!</v>
      </c>
      <c r="M68" s="141" t="e">
        <f t="shared" si="0"/>
        <v>#REF!</v>
      </c>
      <c r="N68" s="182" t="e">
        <f>VLOOKUP(Table1345[[#This Row],[R No.]],'sheet 1'!#REF!,41,FALSE)</f>
        <v>#REF!</v>
      </c>
      <c r="O68" s="138" t="e">
        <f t="shared" si="1"/>
        <v>#REF!</v>
      </c>
      <c r="Q68" s="123" t="e">
        <f t="shared" si="9"/>
        <v>#REF!</v>
      </c>
      <c r="R68" s="123" t="e">
        <f t="shared" si="10"/>
        <v>#REF!</v>
      </c>
      <c r="S68" s="123" t="e">
        <f t="shared" si="11"/>
        <v>#REF!</v>
      </c>
      <c r="T68" s="123" t="e">
        <f t="shared" si="12"/>
        <v>#REF!</v>
      </c>
      <c r="U68" s="123" t="e">
        <f t="shared" si="13"/>
        <v>#REF!</v>
      </c>
      <c r="V68" s="140" t="e">
        <f t="shared" si="7"/>
        <v>#REF!</v>
      </c>
    </row>
    <row r="69" spans="2:22 16044:16044" ht="18" x14ac:dyDescent="0.2">
      <c r="B69" s="141" t="e">
        <f>#REF!</f>
        <v>#REF!</v>
      </c>
      <c r="C69" s="141" t="e">
        <f>#REF!</f>
        <v>#REF!</v>
      </c>
      <c r="D69" s="142" t="e">
        <f>PROPER(#REF!)</f>
        <v>#REF!</v>
      </c>
      <c r="E69" s="142" t="e">
        <f>PROPER(#REF!)</f>
        <v>#REF!</v>
      </c>
      <c r="F69" s="135" t="e">
        <f>VLOOKUP(Table1345[[#This Row],[R No.]],'sheet 1'!#REF!,7,FALSE)</f>
        <v>#REF!</v>
      </c>
      <c r="G69" s="135" t="e">
        <f>VLOOKUP(Table1345[[#This Row],[R No.]],'sheet 1'!#REF!,11,FALSE)</f>
        <v>#REF!</v>
      </c>
      <c r="H69" s="135" t="e">
        <f>VLOOKUP(Table1345[[#This Row],[R No.]],'sheet 1'!#REF!,15,FALSE)</f>
        <v>#REF!</v>
      </c>
      <c r="I69" s="135" t="e">
        <f>VLOOKUP(Table1345[[#This Row],[R No.]],'sheet 1'!#REF!,19,FALSE)</f>
        <v>#REF!</v>
      </c>
      <c r="J69" s="135" t="e">
        <f>VLOOKUP(Table1345[[#This Row],[R No.]],'sheet 1'!#REF!,23,FALSE)</f>
        <v>#REF!</v>
      </c>
      <c r="K69" s="136" t="e">
        <f>VLOOKUP(Table1345[[#This Row],[R No.]],'sheet 1'!#REF!,38,FALSE)</f>
        <v>#REF!</v>
      </c>
      <c r="L69" s="143" t="e">
        <f t="shared" si="14"/>
        <v>#REF!</v>
      </c>
      <c r="M69" s="141" t="e">
        <f t="shared" si="0"/>
        <v>#REF!</v>
      </c>
      <c r="N69" s="182" t="e">
        <f>VLOOKUP(Table1345[[#This Row],[R No.]],'sheet 1'!#REF!,41,FALSE)</f>
        <v>#REF!</v>
      </c>
      <c r="O69" s="138" t="e">
        <f t="shared" si="1"/>
        <v>#REF!</v>
      </c>
      <c r="Q69" s="123" t="e">
        <f t="shared" si="9"/>
        <v>#REF!</v>
      </c>
      <c r="R69" s="123" t="e">
        <f t="shared" si="10"/>
        <v>#REF!</v>
      </c>
      <c r="S69" s="123" t="e">
        <f t="shared" si="11"/>
        <v>#REF!</v>
      </c>
      <c r="T69" s="123" t="e">
        <f t="shared" si="12"/>
        <v>#REF!</v>
      </c>
      <c r="U69" s="123" t="e">
        <f t="shared" si="13"/>
        <v>#REF!</v>
      </c>
      <c r="V69" s="140" t="e">
        <f t="shared" si="7"/>
        <v>#REF!</v>
      </c>
    </row>
    <row r="70" spans="2:22 16044:16044" ht="18" x14ac:dyDescent="0.2">
      <c r="B70" s="141" t="e">
        <f>#REF!</f>
        <v>#REF!</v>
      </c>
      <c r="C70" s="141" t="e">
        <f>#REF!</f>
        <v>#REF!</v>
      </c>
      <c r="D70" s="142" t="e">
        <f>PROPER(#REF!)</f>
        <v>#REF!</v>
      </c>
      <c r="E70" s="142" t="e">
        <f>PROPER(#REF!)</f>
        <v>#REF!</v>
      </c>
      <c r="F70" s="135" t="e">
        <f>VLOOKUP(Table1345[[#This Row],[R No.]],'sheet 1'!#REF!,7,FALSE)</f>
        <v>#REF!</v>
      </c>
      <c r="G70" s="135" t="e">
        <f>VLOOKUP(Table1345[[#This Row],[R No.]],'sheet 1'!#REF!,11,FALSE)</f>
        <v>#REF!</v>
      </c>
      <c r="H70" s="135" t="e">
        <f>VLOOKUP(Table1345[[#This Row],[R No.]],'sheet 1'!#REF!,15,FALSE)</f>
        <v>#REF!</v>
      </c>
      <c r="I70" s="135" t="e">
        <f>VLOOKUP(Table1345[[#This Row],[R No.]],'sheet 1'!#REF!,19,FALSE)</f>
        <v>#REF!</v>
      </c>
      <c r="J70" s="135" t="e">
        <f>VLOOKUP(Table1345[[#This Row],[R No.]],'sheet 1'!#REF!,23,FALSE)</f>
        <v>#REF!</v>
      </c>
      <c r="K70" s="136" t="e">
        <f>VLOOKUP(Table1345[[#This Row],[R No.]],'sheet 1'!#REF!,38,FALSE)</f>
        <v>#REF!</v>
      </c>
      <c r="L70" s="143" t="e">
        <f t="shared" si="14"/>
        <v>#REF!</v>
      </c>
      <c r="M70" s="141" t="e">
        <f t="shared" si="0"/>
        <v>#REF!</v>
      </c>
      <c r="N70" s="182" t="e">
        <f>VLOOKUP(Table1345[[#This Row],[R No.]],'sheet 1'!#REF!,41,FALSE)</f>
        <v>#REF!</v>
      </c>
      <c r="O70" s="138" t="e">
        <f t="shared" si="1"/>
        <v>#REF!</v>
      </c>
      <c r="Q70" s="123" t="e">
        <f t="shared" si="9"/>
        <v>#REF!</v>
      </c>
      <c r="R70" s="123" t="e">
        <f t="shared" si="10"/>
        <v>#REF!</v>
      </c>
      <c r="S70" s="123" t="e">
        <f t="shared" si="11"/>
        <v>#REF!</v>
      </c>
      <c r="T70" s="123" t="e">
        <f t="shared" si="12"/>
        <v>#REF!</v>
      </c>
      <c r="U70" s="123" t="e">
        <f t="shared" si="13"/>
        <v>#REF!</v>
      </c>
      <c r="V70" s="140" t="e">
        <f t="shared" si="7"/>
        <v>#REF!</v>
      </c>
    </row>
    <row r="71" spans="2:22 16044:16044" ht="18" x14ac:dyDescent="0.2">
      <c r="B71" s="141" t="e">
        <f>#REF!</f>
        <v>#REF!</v>
      </c>
      <c r="C71" s="141" t="e">
        <f>#REF!</f>
        <v>#REF!</v>
      </c>
      <c r="D71" s="142" t="e">
        <f>PROPER(#REF!)</f>
        <v>#REF!</v>
      </c>
      <c r="E71" s="142" t="e">
        <f>PROPER(#REF!)</f>
        <v>#REF!</v>
      </c>
      <c r="F71" s="135" t="e">
        <f>VLOOKUP(Table1345[[#This Row],[R No.]],'sheet 1'!#REF!,7,FALSE)</f>
        <v>#REF!</v>
      </c>
      <c r="G71" s="135" t="e">
        <f>VLOOKUP(Table1345[[#This Row],[R No.]],'sheet 1'!#REF!,11,FALSE)</f>
        <v>#REF!</v>
      </c>
      <c r="H71" s="135" t="e">
        <f>VLOOKUP(Table1345[[#This Row],[R No.]],'sheet 1'!#REF!,15,FALSE)</f>
        <v>#REF!</v>
      </c>
      <c r="I71" s="135" t="e">
        <f>VLOOKUP(Table1345[[#This Row],[R No.]],'sheet 1'!#REF!,19,FALSE)</f>
        <v>#REF!</v>
      </c>
      <c r="J71" s="135" t="e">
        <f>VLOOKUP(Table1345[[#This Row],[R No.]],'sheet 1'!#REF!,23,FALSE)</f>
        <v>#REF!</v>
      </c>
      <c r="K71" s="136" t="e">
        <f>VLOOKUP(Table1345[[#This Row],[R No.]],'sheet 1'!#REF!,38,FALSE)</f>
        <v>#REF!</v>
      </c>
      <c r="L71" s="143" t="e">
        <f t="shared" si="14"/>
        <v>#REF!</v>
      </c>
      <c r="M71" s="141" t="e">
        <f t="shared" si="0"/>
        <v>#REF!</v>
      </c>
      <c r="N71" s="182" t="e">
        <f>VLOOKUP(Table1345[[#This Row],[R No.]],'sheet 1'!#REF!,41,FALSE)</f>
        <v>#REF!</v>
      </c>
      <c r="O71" s="138" t="e">
        <f t="shared" si="1"/>
        <v>#REF!</v>
      </c>
      <c r="Q71" s="123" t="e">
        <f t="shared" si="9"/>
        <v>#REF!</v>
      </c>
      <c r="R71" s="123" t="e">
        <f t="shared" si="10"/>
        <v>#REF!</v>
      </c>
      <c r="S71" s="123" t="e">
        <f t="shared" si="11"/>
        <v>#REF!</v>
      </c>
      <c r="T71" s="123" t="e">
        <f t="shared" si="12"/>
        <v>#REF!</v>
      </c>
      <c r="U71" s="123" t="e">
        <f t="shared" si="13"/>
        <v>#REF!</v>
      </c>
      <c r="V71" s="140" t="e">
        <f t="shared" si="7"/>
        <v>#REF!</v>
      </c>
    </row>
    <row r="72" spans="2:22 16044:16044" ht="18" x14ac:dyDescent="0.2">
      <c r="B72" s="141" t="e">
        <f>#REF!</f>
        <v>#REF!</v>
      </c>
      <c r="C72" s="141" t="e">
        <f>#REF!</f>
        <v>#REF!</v>
      </c>
      <c r="D72" s="142" t="e">
        <f>PROPER(#REF!)</f>
        <v>#REF!</v>
      </c>
      <c r="E72" s="142" t="e">
        <f>PROPER(#REF!)</f>
        <v>#REF!</v>
      </c>
      <c r="F72" s="135" t="e">
        <f>VLOOKUP(Table1345[[#This Row],[R No.]],'sheet 1'!#REF!,7,FALSE)</f>
        <v>#REF!</v>
      </c>
      <c r="G72" s="135" t="e">
        <f>VLOOKUP(Table1345[[#This Row],[R No.]],'sheet 1'!#REF!,11,FALSE)</f>
        <v>#REF!</v>
      </c>
      <c r="H72" s="135" t="e">
        <f>VLOOKUP(Table1345[[#This Row],[R No.]],'sheet 1'!#REF!,15,FALSE)</f>
        <v>#REF!</v>
      </c>
      <c r="I72" s="135" t="e">
        <f>VLOOKUP(Table1345[[#This Row],[R No.]],'sheet 1'!#REF!,19,FALSE)</f>
        <v>#REF!</v>
      </c>
      <c r="J72" s="135" t="e">
        <f>VLOOKUP(Table1345[[#This Row],[R No.]],'sheet 1'!#REF!,23,FALSE)</f>
        <v>#REF!</v>
      </c>
      <c r="K72" s="136" t="e">
        <f>VLOOKUP(Table1345[[#This Row],[R No.]],'sheet 1'!#REF!,38,FALSE)</f>
        <v>#REF!</v>
      </c>
      <c r="L72" s="143" t="e">
        <f t="shared" si="14"/>
        <v>#REF!</v>
      </c>
      <c r="M72" s="141" t="e">
        <f t="shared" si="0"/>
        <v>#REF!</v>
      </c>
      <c r="N72" s="182" t="e">
        <f>VLOOKUP(Table1345[[#This Row],[R No.]],'sheet 1'!#REF!,41,FALSE)</f>
        <v>#REF!</v>
      </c>
      <c r="O72" s="138" t="e">
        <f t="shared" si="1"/>
        <v>#REF!</v>
      </c>
      <c r="Q72" s="123" t="e">
        <f t="shared" si="9"/>
        <v>#REF!</v>
      </c>
      <c r="R72" s="123" t="e">
        <f t="shared" si="10"/>
        <v>#REF!</v>
      </c>
      <c r="S72" s="123" t="e">
        <f t="shared" si="11"/>
        <v>#REF!</v>
      </c>
      <c r="T72" s="123" t="e">
        <f t="shared" si="12"/>
        <v>#REF!</v>
      </c>
      <c r="U72" s="123" t="e">
        <f t="shared" si="13"/>
        <v>#REF!</v>
      </c>
      <c r="V72" s="140" t="e">
        <f t="shared" si="7"/>
        <v>#REF!</v>
      </c>
    </row>
    <row r="73" spans="2:22 16044:16044" ht="18" x14ac:dyDescent="0.2">
      <c r="B73" s="141" t="e">
        <f>#REF!</f>
        <v>#REF!</v>
      </c>
      <c r="C73" s="141" t="e">
        <f>#REF!</f>
        <v>#REF!</v>
      </c>
      <c r="D73" s="142" t="e">
        <f>PROPER(#REF!)</f>
        <v>#REF!</v>
      </c>
      <c r="E73" s="142" t="e">
        <f>PROPER(#REF!)</f>
        <v>#REF!</v>
      </c>
      <c r="F73" s="135" t="e">
        <f>VLOOKUP(Table1345[[#This Row],[R No.]],'sheet 1'!#REF!,7,FALSE)</f>
        <v>#REF!</v>
      </c>
      <c r="G73" s="135" t="e">
        <f>VLOOKUP(Table1345[[#This Row],[R No.]],'sheet 1'!#REF!,11,FALSE)</f>
        <v>#REF!</v>
      </c>
      <c r="H73" s="135" t="e">
        <f>VLOOKUP(Table1345[[#This Row],[R No.]],'sheet 1'!#REF!,15,FALSE)</f>
        <v>#REF!</v>
      </c>
      <c r="I73" s="135" t="e">
        <f>VLOOKUP(Table1345[[#This Row],[R No.]],'sheet 1'!#REF!,19,FALSE)</f>
        <v>#REF!</v>
      </c>
      <c r="J73" s="135" t="e">
        <f>VLOOKUP(Table1345[[#This Row],[R No.]],'sheet 1'!#REF!,23,FALSE)</f>
        <v>#REF!</v>
      </c>
      <c r="K73" s="136" t="e">
        <f>VLOOKUP(Table1345[[#This Row],[R No.]],'sheet 1'!#REF!,38,FALSE)</f>
        <v>#REF!</v>
      </c>
      <c r="L73" s="143" t="e">
        <f t="shared" si="14"/>
        <v>#REF!</v>
      </c>
      <c r="M73" s="141" t="e">
        <f t="shared" si="0"/>
        <v>#REF!</v>
      </c>
      <c r="N73" s="182" t="e">
        <f>VLOOKUP(Table1345[[#This Row],[R No.]],'sheet 1'!#REF!,41,FALSE)</f>
        <v>#REF!</v>
      </c>
      <c r="O73" s="138" t="e">
        <f t="shared" si="1"/>
        <v>#REF!</v>
      </c>
      <c r="Q73" s="123" t="e">
        <f t="shared" si="9"/>
        <v>#REF!</v>
      </c>
      <c r="R73" s="123" t="e">
        <f t="shared" si="10"/>
        <v>#REF!</v>
      </c>
      <c r="S73" s="123" t="e">
        <f t="shared" si="11"/>
        <v>#REF!</v>
      </c>
      <c r="T73" s="123" t="e">
        <f t="shared" si="12"/>
        <v>#REF!</v>
      </c>
      <c r="U73" s="123" t="e">
        <f t="shared" si="13"/>
        <v>#REF!</v>
      </c>
      <c r="V73" s="140" t="e">
        <f t="shared" si="7"/>
        <v>#REF!</v>
      </c>
    </row>
    <row r="74" spans="2:22 16044:16044" ht="18" x14ac:dyDescent="0.2">
      <c r="B74" s="141" t="e">
        <f>#REF!</f>
        <v>#REF!</v>
      </c>
      <c r="C74" s="141" t="e">
        <f>#REF!</f>
        <v>#REF!</v>
      </c>
      <c r="D74" s="142" t="e">
        <f>PROPER(#REF!)</f>
        <v>#REF!</v>
      </c>
      <c r="E74" s="142" t="e">
        <f>PROPER(#REF!)</f>
        <v>#REF!</v>
      </c>
      <c r="F74" s="135" t="e">
        <f>VLOOKUP(Table1345[[#This Row],[R No.]],'sheet 1'!#REF!,7,FALSE)</f>
        <v>#REF!</v>
      </c>
      <c r="G74" s="135" t="e">
        <f>VLOOKUP(Table1345[[#This Row],[R No.]],'sheet 1'!#REF!,11,FALSE)</f>
        <v>#REF!</v>
      </c>
      <c r="H74" s="135" t="e">
        <f>VLOOKUP(Table1345[[#This Row],[R No.]],'sheet 1'!#REF!,15,FALSE)</f>
        <v>#REF!</v>
      </c>
      <c r="I74" s="135" t="e">
        <f>VLOOKUP(Table1345[[#This Row],[R No.]],'sheet 1'!#REF!,19,FALSE)</f>
        <v>#REF!</v>
      </c>
      <c r="J74" s="135" t="e">
        <f>VLOOKUP(Table1345[[#This Row],[R No.]],'sheet 1'!#REF!,23,FALSE)</f>
        <v>#REF!</v>
      </c>
      <c r="K74" s="136" t="e">
        <f>VLOOKUP(Table1345[[#This Row],[R No.]],'sheet 1'!#REF!,38,FALSE)</f>
        <v>#REF!</v>
      </c>
      <c r="L74" s="143" t="e">
        <f t="shared" si="14"/>
        <v>#REF!</v>
      </c>
      <c r="M74" s="141" t="e">
        <f t="shared" ref="M74:M137" si="15">IF(K74&gt;3.99,"Excellent",IF(K74&gt;3.49,"Very Good",IF(K74&gt;2.99,"Good",IF(K74&gt;2.49,"Fair",IF(K74&gt;1.99,"Fair",IF(K74&gt;1.49,"Pass (Probation)",IF(K74&gt;0.99,"Pass (Probation)","Fail")))))))</f>
        <v>#REF!</v>
      </c>
      <c r="N74" s="182" t="e">
        <f>VLOOKUP(Table1345[[#This Row],[R No.]],'sheet 1'!#REF!,41,FALSE)</f>
        <v>#REF!</v>
      </c>
      <c r="O74" s="138" t="e">
        <f t="shared" ref="O74:O137" si="16">V74</f>
        <v>#REF!</v>
      </c>
      <c r="Q74" s="123" t="e">
        <f t="shared" ref="Q74:Q105" si="17">IF(F74="F",$F$9,"")</f>
        <v>#REF!</v>
      </c>
      <c r="R74" s="123" t="e">
        <f t="shared" ref="R74:R105" si="18">IF(G74="F",$G$9,"")</f>
        <v>#REF!</v>
      </c>
      <c r="S74" s="123" t="e">
        <f t="shared" ref="S74:S105" si="19">IF(H74="F",$H$9,"")</f>
        <v>#REF!</v>
      </c>
      <c r="T74" s="123" t="e">
        <f t="shared" ref="T74:T105" si="20">IF(I74="F",$I$9,"")</f>
        <v>#REF!</v>
      </c>
      <c r="U74" s="123" t="e">
        <f t="shared" ref="U74:U105" si="21">IF(J74="F",$J$9,"")</f>
        <v>#REF!</v>
      </c>
      <c r="V74" s="140" t="e">
        <f t="shared" si="7"/>
        <v>#REF!</v>
      </c>
    </row>
    <row r="75" spans="2:22 16044:16044" ht="18" x14ac:dyDescent="0.2">
      <c r="B75" s="141" t="e">
        <f>#REF!</f>
        <v>#REF!</v>
      </c>
      <c r="C75" s="141" t="e">
        <f>#REF!</f>
        <v>#REF!</v>
      </c>
      <c r="D75" s="142" t="e">
        <f>PROPER(#REF!)</f>
        <v>#REF!</v>
      </c>
      <c r="E75" s="142" t="e">
        <f>PROPER(#REF!)</f>
        <v>#REF!</v>
      </c>
      <c r="F75" s="135" t="e">
        <f>VLOOKUP(Table1345[[#This Row],[R No.]],'sheet 1'!#REF!,7,FALSE)</f>
        <v>#REF!</v>
      </c>
      <c r="G75" s="135" t="e">
        <f>VLOOKUP(Table1345[[#This Row],[R No.]],'sheet 1'!#REF!,11,FALSE)</f>
        <v>#REF!</v>
      </c>
      <c r="H75" s="135" t="e">
        <f>VLOOKUP(Table1345[[#This Row],[R No.]],'sheet 1'!#REF!,15,FALSE)</f>
        <v>#REF!</v>
      </c>
      <c r="I75" s="135" t="e">
        <f>VLOOKUP(Table1345[[#This Row],[R No.]],'sheet 1'!#REF!,19,FALSE)</f>
        <v>#REF!</v>
      </c>
      <c r="J75" s="135" t="e">
        <f>VLOOKUP(Table1345[[#This Row],[R No.]],'sheet 1'!#REF!,23,FALSE)</f>
        <v>#REF!</v>
      </c>
      <c r="K75" s="136" t="e">
        <f>VLOOKUP(Table1345[[#This Row],[R No.]],'sheet 1'!#REF!,38,FALSE)</f>
        <v>#REF!</v>
      </c>
      <c r="L75" s="143" t="e">
        <f t="shared" si="14"/>
        <v>#REF!</v>
      </c>
      <c r="M75" s="141" t="e">
        <f t="shared" si="15"/>
        <v>#REF!</v>
      </c>
      <c r="N75" s="182" t="e">
        <f>VLOOKUP(Table1345[[#This Row],[R No.]],'sheet 1'!#REF!,41,FALSE)</f>
        <v>#REF!</v>
      </c>
      <c r="O75" s="138" t="e">
        <f t="shared" si="16"/>
        <v>#REF!</v>
      </c>
      <c r="Q75" s="123" t="e">
        <f t="shared" si="17"/>
        <v>#REF!</v>
      </c>
      <c r="R75" s="123" t="e">
        <f t="shared" si="18"/>
        <v>#REF!</v>
      </c>
      <c r="S75" s="123" t="e">
        <f t="shared" si="19"/>
        <v>#REF!</v>
      </c>
      <c r="T75" s="123" t="e">
        <f t="shared" si="20"/>
        <v>#REF!</v>
      </c>
      <c r="U75" s="123" t="e">
        <f t="shared" si="21"/>
        <v>#REF!</v>
      </c>
      <c r="V75" s="140" t="e">
        <f t="shared" ref="V75:V138" si="22">CONCATENATE(Q75,CHAR(10),R75,CHAR(10),S75,CHAR(10),T75,CHAR(10),U75,CHAR(10),)</f>
        <v>#REF!</v>
      </c>
    </row>
    <row r="76" spans="2:22 16044:16044" s="139" customFormat="1" ht="18" x14ac:dyDescent="0.2">
      <c r="B76" s="141" t="e">
        <f>#REF!</f>
        <v>#REF!</v>
      </c>
      <c r="C76" s="141" t="e">
        <f>#REF!</f>
        <v>#REF!</v>
      </c>
      <c r="D76" s="142" t="e">
        <f>PROPER(#REF!)</f>
        <v>#REF!</v>
      </c>
      <c r="E76" s="142" t="e">
        <f>PROPER(#REF!)</f>
        <v>#REF!</v>
      </c>
      <c r="F76" s="135" t="e">
        <f>VLOOKUP(Table1345[[#This Row],[R No.]],'sheet 1'!#REF!,7,FALSE)</f>
        <v>#REF!</v>
      </c>
      <c r="G76" s="135" t="e">
        <f>VLOOKUP(Table1345[[#This Row],[R No.]],'sheet 1'!#REF!,11,FALSE)</f>
        <v>#REF!</v>
      </c>
      <c r="H76" s="135" t="e">
        <f>VLOOKUP(Table1345[[#This Row],[R No.]],'sheet 1'!#REF!,15,FALSE)</f>
        <v>#REF!</v>
      </c>
      <c r="I76" s="135" t="e">
        <f>VLOOKUP(Table1345[[#This Row],[R No.]],'sheet 1'!#REF!,19,FALSE)</f>
        <v>#REF!</v>
      </c>
      <c r="J76" s="135" t="e">
        <f>VLOOKUP(Table1345[[#This Row],[R No.]],'sheet 1'!#REF!,23,FALSE)</f>
        <v>#REF!</v>
      </c>
      <c r="K76" s="136" t="e">
        <f>VLOOKUP(Table1345[[#This Row],[R No.]],'sheet 1'!#REF!,38,FALSE)</f>
        <v>#REF!</v>
      </c>
      <c r="L76" s="143" t="e">
        <f t="shared" si="14"/>
        <v>#REF!</v>
      </c>
      <c r="M76" s="141" t="e">
        <f t="shared" si="15"/>
        <v>#REF!</v>
      </c>
      <c r="N76" s="182" t="e">
        <f>VLOOKUP(Table1345[[#This Row],[R No.]],'sheet 1'!#REF!,41,FALSE)</f>
        <v>#REF!</v>
      </c>
      <c r="O76" s="138" t="e">
        <f t="shared" si="16"/>
        <v>#REF!</v>
      </c>
      <c r="Q76" s="123" t="e">
        <f t="shared" si="17"/>
        <v>#REF!</v>
      </c>
      <c r="R76" s="123" t="e">
        <f t="shared" si="18"/>
        <v>#REF!</v>
      </c>
      <c r="S76" s="123" t="e">
        <f t="shared" si="19"/>
        <v>#REF!</v>
      </c>
      <c r="T76" s="123" t="e">
        <f t="shared" si="20"/>
        <v>#REF!</v>
      </c>
      <c r="U76" s="123" t="e">
        <f t="shared" si="21"/>
        <v>#REF!</v>
      </c>
      <c r="V76" s="140" t="e">
        <f t="shared" si="22"/>
        <v>#REF!</v>
      </c>
      <c r="WSB76" s="116"/>
    </row>
    <row r="77" spans="2:22 16044:16044" ht="18" x14ac:dyDescent="0.2">
      <c r="B77" s="141" t="e">
        <f>#REF!</f>
        <v>#REF!</v>
      </c>
      <c r="C77" s="141" t="e">
        <f>#REF!</f>
        <v>#REF!</v>
      </c>
      <c r="D77" s="142" t="e">
        <f>PROPER(#REF!)</f>
        <v>#REF!</v>
      </c>
      <c r="E77" s="142" t="e">
        <f>PROPER(#REF!)</f>
        <v>#REF!</v>
      </c>
      <c r="F77" s="135" t="e">
        <f>VLOOKUP(Table1345[[#This Row],[R No.]],'sheet 1'!#REF!,7,FALSE)</f>
        <v>#REF!</v>
      </c>
      <c r="G77" s="135" t="e">
        <f>VLOOKUP(Table1345[[#This Row],[R No.]],'sheet 1'!#REF!,11,FALSE)</f>
        <v>#REF!</v>
      </c>
      <c r="H77" s="135" t="e">
        <f>VLOOKUP(Table1345[[#This Row],[R No.]],'sheet 1'!#REF!,15,FALSE)</f>
        <v>#REF!</v>
      </c>
      <c r="I77" s="135" t="e">
        <f>VLOOKUP(Table1345[[#This Row],[R No.]],'sheet 1'!#REF!,19,FALSE)</f>
        <v>#REF!</v>
      </c>
      <c r="J77" s="135" t="e">
        <f>VLOOKUP(Table1345[[#This Row],[R No.]],'sheet 1'!#REF!,23,FALSE)</f>
        <v>#REF!</v>
      </c>
      <c r="K77" s="136" t="e">
        <f>VLOOKUP(Table1345[[#This Row],[R No.]],'sheet 1'!#REF!,38,FALSE)</f>
        <v>#REF!</v>
      </c>
      <c r="L77" s="143" t="e">
        <f t="shared" si="14"/>
        <v>#REF!</v>
      </c>
      <c r="M77" s="141" t="e">
        <f t="shared" si="15"/>
        <v>#REF!</v>
      </c>
      <c r="N77" s="182" t="e">
        <f>VLOOKUP(Table1345[[#This Row],[R No.]],'sheet 1'!#REF!,41,FALSE)</f>
        <v>#REF!</v>
      </c>
      <c r="O77" s="138" t="e">
        <f t="shared" si="16"/>
        <v>#REF!</v>
      </c>
      <c r="Q77" s="123" t="e">
        <f t="shared" si="17"/>
        <v>#REF!</v>
      </c>
      <c r="R77" s="123" t="e">
        <f t="shared" si="18"/>
        <v>#REF!</v>
      </c>
      <c r="S77" s="123" t="e">
        <f t="shared" si="19"/>
        <v>#REF!</v>
      </c>
      <c r="T77" s="123" t="e">
        <f t="shared" si="20"/>
        <v>#REF!</v>
      </c>
      <c r="U77" s="123" t="e">
        <f t="shared" si="21"/>
        <v>#REF!</v>
      </c>
      <c r="V77" s="140" t="e">
        <f t="shared" si="22"/>
        <v>#REF!</v>
      </c>
    </row>
    <row r="78" spans="2:22 16044:16044" ht="18" x14ac:dyDescent="0.2">
      <c r="B78" s="141" t="e">
        <f>#REF!</f>
        <v>#REF!</v>
      </c>
      <c r="C78" s="141" t="e">
        <f>#REF!</f>
        <v>#REF!</v>
      </c>
      <c r="D78" s="142" t="e">
        <f>PROPER(#REF!)</f>
        <v>#REF!</v>
      </c>
      <c r="E78" s="142" t="e">
        <f>PROPER(#REF!)</f>
        <v>#REF!</v>
      </c>
      <c r="F78" s="135" t="e">
        <f>VLOOKUP(Table1345[[#This Row],[R No.]],'sheet 1'!#REF!,7,FALSE)</f>
        <v>#REF!</v>
      </c>
      <c r="G78" s="135" t="e">
        <f>VLOOKUP(Table1345[[#This Row],[R No.]],'sheet 1'!#REF!,11,FALSE)</f>
        <v>#REF!</v>
      </c>
      <c r="H78" s="135" t="e">
        <f>VLOOKUP(Table1345[[#This Row],[R No.]],'sheet 1'!#REF!,15,FALSE)</f>
        <v>#REF!</v>
      </c>
      <c r="I78" s="135" t="e">
        <f>VLOOKUP(Table1345[[#This Row],[R No.]],'sheet 1'!#REF!,19,FALSE)</f>
        <v>#REF!</v>
      </c>
      <c r="J78" s="135" t="e">
        <f>VLOOKUP(Table1345[[#This Row],[R No.]],'sheet 1'!#REF!,23,FALSE)</f>
        <v>#REF!</v>
      </c>
      <c r="K78" s="136" t="e">
        <f>VLOOKUP(Table1345[[#This Row],[R No.]],'sheet 1'!#REF!,38,FALSE)</f>
        <v>#REF!</v>
      </c>
      <c r="L78" s="143" t="e">
        <f t="shared" si="14"/>
        <v>#REF!</v>
      </c>
      <c r="M78" s="141" t="e">
        <f t="shared" si="15"/>
        <v>#REF!</v>
      </c>
      <c r="N78" s="182" t="e">
        <f>VLOOKUP(Table1345[[#This Row],[R No.]],'sheet 1'!#REF!,41,FALSE)</f>
        <v>#REF!</v>
      </c>
      <c r="O78" s="138" t="e">
        <f t="shared" si="16"/>
        <v>#REF!</v>
      </c>
      <c r="Q78" s="123" t="e">
        <f t="shared" si="17"/>
        <v>#REF!</v>
      </c>
      <c r="R78" s="123" t="e">
        <f t="shared" si="18"/>
        <v>#REF!</v>
      </c>
      <c r="S78" s="123" t="e">
        <f t="shared" si="19"/>
        <v>#REF!</v>
      </c>
      <c r="T78" s="123" t="e">
        <f t="shared" si="20"/>
        <v>#REF!</v>
      </c>
      <c r="U78" s="123" t="e">
        <f t="shared" si="21"/>
        <v>#REF!</v>
      </c>
      <c r="V78" s="140" t="e">
        <f t="shared" si="22"/>
        <v>#REF!</v>
      </c>
    </row>
    <row r="79" spans="2:22 16044:16044" ht="18" x14ac:dyDescent="0.2">
      <c r="B79" s="141" t="e">
        <f>#REF!</f>
        <v>#REF!</v>
      </c>
      <c r="C79" s="141" t="e">
        <f>#REF!</f>
        <v>#REF!</v>
      </c>
      <c r="D79" s="142" t="e">
        <f>PROPER(#REF!)</f>
        <v>#REF!</v>
      </c>
      <c r="E79" s="142" t="e">
        <f>PROPER(#REF!)</f>
        <v>#REF!</v>
      </c>
      <c r="F79" s="135" t="e">
        <f>VLOOKUP(Table1345[[#This Row],[R No.]],'sheet 1'!#REF!,7,FALSE)</f>
        <v>#REF!</v>
      </c>
      <c r="G79" s="135" t="e">
        <f>VLOOKUP(Table1345[[#This Row],[R No.]],'sheet 1'!#REF!,11,FALSE)</f>
        <v>#REF!</v>
      </c>
      <c r="H79" s="135" t="e">
        <f>VLOOKUP(Table1345[[#This Row],[R No.]],'sheet 1'!#REF!,15,FALSE)</f>
        <v>#REF!</v>
      </c>
      <c r="I79" s="135" t="e">
        <f>VLOOKUP(Table1345[[#This Row],[R No.]],'sheet 1'!#REF!,19,FALSE)</f>
        <v>#REF!</v>
      </c>
      <c r="J79" s="135" t="e">
        <f>VLOOKUP(Table1345[[#This Row],[R No.]],'sheet 1'!#REF!,23,FALSE)</f>
        <v>#REF!</v>
      </c>
      <c r="K79" s="136" t="e">
        <f>VLOOKUP(Table1345[[#This Row],[R No.]],'sheet 1'!#REF!,38,FALSE)</f>
        <v>#REF!</v>
      </c>
      <c r="L79" s="143" t="e">
        <f t="shared" si="14"/>
        <v>#REF!</v>
      </c>
      <c r="M79" s="141" t="e">
        <f t="shared" si="15"/>
        <v>#REF!</v>
      </c>
      <c r="N79" s="182" t="e">
        <f>VLOOKUP(Table1345[[#This Row],[R No.]],'sheet 1'!#REF!,41,FALSE)</f>
        <v>#REF!</v>
      </c>
      <c r="O79" s="138" t="e">
        <f t="shared" si="16"/>
        <v>#REF!</v>
      </c>
      <c r="Q79" s="123" t="e">
        <f t="shared" si="17"/>
        <v>#REF!</v>
      </c>
      <c r="R79" s="123" t="e">
        <f t="shared" si="18"/>
        <v>#REF!</v>
      </c>
      <c r="S79" s="123" t="e">
        <f t="shared" si="19"/>
        <v>#REF!</v>
      </c>
      <c r="T79" s="123" t="e">
        <f t="shared" si="20"/>
        <v>#REF!</v>
      </c>
      <c r="U79" s="123" t="e">
        <f t="shared" si="21"/>
        <v>#REF!</v>
      </c>
      <c r="V79" s="140" t="e">
        <f t="shared" si="22"/>
        <v>#REF!</v>
      </c>
      <c r="WSB79" s="144"/>
    </row>
    <row r="80" spans="2:22 16044:16044" ht="18" x14ac:dyDescent="0.2">
      <c r="B80" s="141" t="e">
        <f>#REF!</f>
        <v>#REF!</v>
      </c>
      <c r="C80" s="141" t="e">
        <f>#REF!</f>
        <v>#REF!</v>
      </c>
      <c r="D80" s="142" t="e">
        <f>PROPER(#REF!)</f>
        <v>#REF!</v>
      </c>
      <c r="E80" s="142" t="e">
        <f>PROPER(#REF!)</f>
        <v>#REF!</v>
      </c>
      <c r="F80" s="135" t="e">
        <f>VLOOKUP(Table1345[[#This Row],[R No.]],'sheet 1'!#REF!,7,FALSE)</f>
        <v>#REF!</v>
      </c>
      <c r="G80" s="135" t="e">
        <f>VLOOKUP(Table1345[[#This Row],[R No.]],'sheet 1'!#REF!,11,FALSE)</f>
        <v>#REF!</v>
      </c>
      <c r="H80" s="135" t="e">
        <f>VLOOKUP(Table1345[[#This Row],[R No.]],'sheet 1'!#REF!,15,FALSE)</f>
        <v>#REF!</v>
      </c>
      <c r="I80" s="135" t="e">
        <f>VLOOKUP(Table1345[[#This Row],[R No.]],'sheet 1'!#REF!,19,FALSE)</f>
        <v>#REF!</v>
      </c>
      <c r="J80" s="135" t="e">
        <f>VLOOKUP(Table1345[[#This Row],[R No.]],'sheet 1'!#REF!,23,FALSE)</f>
        <v>#REF!</v>
      </c>
      <c r="K80" s="136" t="e">
        <f>VLOOKUP(Table1345[[#This Row],[R No.]],'sheet 1'!#REF!,38,FALSE)</f>
        <v>#REF!</v>
      </c>
      <c r="L80" s="143" t="e">
        <f t="shared" si="14"/>
        <v>#REF!</v>
      </c>
      <c r="M80" s="141" t="e">
        <f t="shared" si="15"/>
        <v>#REF!</v>
      </c>
      <c r="N80" s="182" t="e">
        <f>VLOOKUP(Table1345[[#This Row],[R No.]],'sheet 1'!#REF!,41,FALSE)</f>
        <v>#REF!</v>
      </c>
      <c r="O80" s="138" t="e">
        <f t="shared" si="16"/>
        <v>#REF!</v>
      </c>
      <c r="Q80" s="123" t="e">
        <f t="shared" si="17"/>
        <v>#REF!</v>
      </c>
      <c r="R80" s="123" t="e">
        <f t="shared" si="18"/>
        <v>#REF!</v>
      </c>
      <c r="S80" s="123" t="e">
        <f t="shared" si="19"/>
        <v>#REF!</v>
      </c>
      <c r="T80" s="123" t="e">
        <f t="shared" si="20"/>
        <v>#REF!</v>
      </c>
      <c r="U80" s="123" t="e">
        <f t="shared" si="21"/>
        <v>#REF!</v>
      </c>
      <c r="V80" s="140" t="e">
        <f t="shared" si="22"/>
        <v>#REF!</v>
      </c>
    </row>
    <row r="81" spans="2:22 16044:16044" ht="18" x14ac:dyDescent="0.2">
      <c r="B81" s="141" t="e">
        <f>#REF!</f>
        <v>#REF!</v>
      </c>
      <c r="C81" s="141" t="e">
        <f>#REF!</f>
        <v>#REF!</v>
      </c>
      <c r="D81" s="142" t="e">
        <f>PROPER(#REF!)</f>
        <v>#REF!</v>
      </c>
      <c r="E81" s="142" t="e">
        <f>PROPER(#REF!)</f>
        <v>#REF!</v>
      </c>
      <c r="F81" s="135" t="e">
        <f>VLOOKUP(Table1345[[#This Row],[R No.]],'sheet 1'!#REF!,7,FALSE)</f>
        <v>#REF!</v>
      </c>
      <c r="G81" s="135" t="e">
        <f>VLOOKUP(Table1345[[#This Row],[R No.]],'sheet 1'!#REF!,11,FALSE)</f>
        <v>#REF!</v>
      </c>
      <c r="H81" s="135" t="e">
        <f>VLOOKUP(Table1345[[#This Row],[R No.]],'sheet 1'!#REF!,15,FALSE)</f>
        <v>#REF!</v>
      </c>
      <c r="I81" s="135" t="e">
        <f>VLOOKUP(Table1345[[#This Row],[R No.]],'sheet 1'!#REF!,19,FALSE)</f>
        <v>#REF!</v>
      </c>
      <c r="J81" s="135" t="e">
        <f>VLOOKUP(Table1345[[#This Row],[R No.]],'sheet 1'!#REF!,23,FALSE)</f>
        <v>#REF!</v>
      </c>
      <c r="K81" s="136" t="e">
        <f>VLOOKUP(Table1345[[#This Row],[R No.]],'sheet 1'!#REF!,38,FALSE)</f>
        <v>#REF!</v>
      </c>
      <c r="L81" s="143" t="e">
        <f t="shared" si="14"/>
        <v>#REF!</v>
      </c>
      <c r="M81" s="141" t="e">
        <f t="shared" si="15"/>
        <v>#REF!</v>
      </c>
      <c r="N81" s="182" t="e">
        <f>VLOOKUP(Table1345[[#This Row],[R No.]],'sheet 1'!#REF!,41,FALSE)</f>
        <v>#REF!</v>
      </c>
      <c r="O81" s="138" t="e">
        <f t="shared" si="16"/>
        <v>#REF!</v>
      </c>
      <c r="Q81" s="123" t="e">
        <f t="shared" si="17"/>
        <v>#REF!</v>
      </c>
      <c r="R81" s="123" t="e">
        <f t="shared" si="18"/>
        <v>#REF!</v>
      </c>
      <c r="S81" s="123" t="e">
        <f t="shared" si="19"/>
        <v>#REF!</v>
      </c>
      <c r="T81" s="123" t="e">
        <f t="shared" si="20"/>
        <v>#REF!</v>
      </c>
      <c r="U81" s="123" t="e">
        <f t="shared" si="21"/>
        <v>#REF!</v>
      </c>
      <c r="V81" s="140" t="e">
        <f t="shared" si="22"/>
        <v>#REF!</v>
      </c>
    </row>
    <row r="82" spans="2:22 16044:16044" ht="18" x14ac:dyDescent="0.2">
      <c r="B82" s="141" t="e">
        <f>#REF!</f>
        <v>#REF!</v>
      </c>
      <c r="C82" s="141" t="e">
        <f>#REF!</f>
        <v>#REF!</v>
      </c>
      <c r="D82" s="142" t="e">
        <f>PROPER(#REF!)</f>
        <v>#REF!</v>
      </c>
      <c r="E82" s="142" t="e">
        <f>PROPER(#REF!)</f>
        <v>#REF!</v>
      </c>
      <c r="F82" s="135" t="e">
        <f>VLOOKUP(Table1345[[#This Row],[R No.]],'sheet 1'!#REF!,7,FALSE)</f>
        <v>#REF!</v>
      </c>
      <c r="G82" s="135" t="e">
        <f>VLOOKUP(Table1345[[#This Row],[R No.]],'sheet 1'!#REF!,11,FALSE)</f>
        <v>#REF!</v>
      </c>
      <c r="H82" s="135" t="e">
        <f>VLOOKUP(Table1345[[#This Row],[R No.]],'sheet 1'!#REF!,15,FALSE)</f>
        <v>#REF!</v>
      </c>
      <c r="I82" s="135" t="e">
        <f>VLOOKUP(Table1345[[#This Row],[R No.]],'sheet 1'!#REF!,19,FALSE)</f>
        <v>#REF!</v>
      </c>
      <c r="J82" s="135" t="e">
        <f>VLOOKUP(Table1345[[#This Row],[R No.]],'sheet 1'!#REF!,23,FALSE)</f>
        <v>#REF!</v>
      </c>
      <c r="K82" s="136" t="e">
        <f>VLOOKUP(Table1345[[#This Row],[R No.]],'sheet 1'!#REF!,38,FALSE)</f>
        <v>#REF!</v>
      </c>
      <c r="L82" s="143" t="e">
        <f t="shared" si="14"/>
        <v>#REF!</v>
      </c>
      <c r="M82" s="141" t="e">
        <f t="shared" si="15"/>
        <v>#REF!</v>
      </c>
      <c r="N82" s="182" t="e">
        <f>VLOOKUP(Table1345[[#This Row],[R No.]],'sheet 1'!#REF!,41,FALSE)</f>
        <v>#REF!</v>
      </c>
      <c r="O82" s="138" t="e">
        <f t="shared" si="16"/>
        <v>#REF!</v>
      </c>
      <c r="Q82" s="123" t="e">
        <f t="shared" si="17"/>
        <v>#REF!</v>
      </c>
      <c r="R82" s="123" t="e">
        <f t="shared" si="18"/>
        <v>#REF!</v>
      </c>
      <c r="S82" s="123" t="e">
        <f t="shared" si="19"/>
        <v>#REF!</v>
      </c>
      <c r="T82" s="123" t="e">
        <f t="shared" si="20"/>
        <v>#REF!</v>
      </c>
      <c r="U82" s="123" t="e">
        <f t="shared" si="21"/>
        <v>#REF!</v>
      </c>
      <c r="V82" s="140" t="e">
        <f t="shared" si="22"/>
        <v>#REF!</v>
      </c>
      <c r="WSB82" s="144"/>
    </row>
    <row r="83" spans="2:22 16044:16044" ht="18" x14ac:dyDescent="0.2">
      <c r="B83" s="141" t="e">
        <f>#REF!</f>
        <v>#REF!</v>
      </c>
      <c r="C83" s="141" t="e">
        <f>#REF!</f>
        <v>#REF!</v>
      </c>
      <c r="D83" s="142" t="e">
        <f>PROPER(#REF!)</f>
        <v>#REF!</v>
      </c>
      <c r="E83" s="142" t="e">
        <f>PROPER(#REF!)</f>
        <v>#REF!</v>
      </c>
      <c r="F83" s="135" t="e">
        <f>VLOOKUP(Table1345[[#This Row],[R No.]],'sheet 1'!#REF!,7,FALSE)</f>
        <v>#REF!</v>
      </c>
      <c r="G83" s="135" t="e">
        <f>VLOOKUP(Table1345[[#This Row],[R No.]],'sheet 1'!#REF!,11,FALSE)</f>
        <v>#REF!</v>
      </c>
      <c r="H83" s="135" t="e">
        <f>VLOOKUP(Table1345[[#This Row],[R No.]],'sheet 1'!#REF!,15,FALSE)</f>
        <v>#REF!</v>
      </c>
      <c r="I83" s="135" t="e">
        <f>VLOOKUP(Table1345[[#This Row],[R No.]],'sheet 1'!#REF!,19,FALSE)</f>
        <v>#REF!</v>
      </c>
      <c r="J83" s="135" t="e">
        <f>VLOOKUP(Table1345[[#This Row],[R No.]],'sheet 1'!#REF!,23,FALSE)</f>
        <v>#REF!</v>
      </c>
      <c r="K83" s="136" t="e">
        <f>VLOOKUP(Table1345[[#This Row],[R No.]],'sheet 1'!#REF!,38,FALSE)</f>
        <v>#REF!</v>
      </c>
      <c r="L83" s="143" t="e">
        <f t="shared" si="14"/>
        <v>#REF!</v>
      </c>
      <c r="M83" s="141" t="e">
        <f t="shared" si="15"/>
        <v>#REF!</v>
      </c>
      <c r="N83" s="182" t="e">
        <f>VLOOKUP(Table1345[[#This Row],[R No.]],'sheet 1'!#REF!,41,FALSE)</f>
        <v>#REF!</v>
      </c>
      <c r="O83" s="138" t="e">
        <f t="shared" si="16"/>
        <v>#REF!</v>
      </c>
      <c r="Q83" s="123" t="e">
        <f t="shared" si="17"/>
        <v>#REF!</v>
      </c>
      <c r="R83" s="123" t="e">
        <f t="shared" si="18"/>
        <v>#REF!</v>
      </c>
      <c r="S83" s="123" t="e">
        <f t="shared" si="19"/>
        <v>#REF!</v>
      </c>
      <c r="T83" s="123" t="e">
        <f t="shared" si="20"/>
        <v>#REF!</v>
      </c>
      <c r="U83" s="123" t="e">
        <f t="shared" si="21"/>
        <v>#REF!</v>
      </c>
      <c r="V83" s="140" t="e">
        <f t="shared" si="22"/>
        <v>#REF!</v>
      </c>
    </row>
    <row r="84" spans="2:22 16044:16044" ht="18" x14ac:dyDescent="0.2">
      <c r="B84" s="141" t="e">
        <f>#REF!</f>
        <v>#REF!</v>
      </c>
      <c r="C84" s="141" t="e">
        <f>#REF!</f>
        <v>#REF!</v>
      </c>
      <c r="D84" s="142" t="e">
        <f>PROPER(#REF!)</f>
        <v>#REF!</v>
      </c>
      <c r="E84" s="142" t="e">
        <f>PROPER(#REF!)</f>
        <v>#REF!</v>
      </c>
      <c r="F84" s="135" t="e">
        <f>VLOOKUP(Table1345[[#This Row],[R No.]],'sheet 1'!#REF!,7,FALSE)</f>
        <v>#REF!</v>
      </c>
      <c r="G84" s="135" t="e">
        <f>VLOOKUP(Table1345[[#This Row],[R No.]],'sheet 1'!#REF!,11,FALSE)</f>
        <v>#REF!</v>
      </c>
      <c r="H84" s="135" t="e">
        <f>VLOOKUP(Table1345[[#This Row],[R No.]],'sheet 1'!#REF!,15,FALSE)</f>
        <v>#REF!</v>
      </c>
      <c r="I84" s="135" t="e">
        <f>VLOOKUP(Table1345[[#This Row],[R No.]],'sheet 1'!#REF!,19,FALSE)</f>
        <v>#REF!</v>
      </c>
      <c r="J84" s="135" t="e">
        <f>VLOOKUP(Table1345[[#This Row],[R No.]],'sheet 1'!#REF!,23,FALSE)</f>
        <v>#REF!</v>
      </c>
      <c r="K84" s="136" t="e">
        <f>VLOOKUP(Table1345[[#This Row],[R No.]],'sheet 1'!#REF!,38,FALSE)</f>
        <v>#REF!</v>
      </c>
      <c r="L84" s="143" t="e">
        <f t="shared" si="14"/>
        <v>#REF!</v>
      </c>
      <c r="M84" s="141" t="e">
        <f t="shared" si="15"/>
        <v>#REF!</v>
      </c>
      <c r="N84" s="182" t="e">
        <f>VLOOKUP(Table1345[[#This Row],[R No.]],'sheet 1'!#REF!,41,FALSE)</f>
        <v>#REF!</v>
      </c>
      <c r="O84" s="138" t="e">
        <f t="shared" si="16"/>
        <v>#REF!</v>
      </c>
      <c r="Q84" s="123" t="e">
        <f t="shared" si="17"/>
        <v>#REF!</v>
      </c>
      <c r="R84" s="123" t="e">
        <f t="shared" si="18"/>
        <v>#REF!</v>
      </c>
      <c r="S84" s="123" t="e">
        <f t="shared" si="19"/>
        <v>#REF!</v>
      </c>
      <c r="T84" s="123" t="e">
        <f t="shared" si="20"/>
        <v>#REF!</v>
      </c>
      <c r="U84" s="123" t="e">
        <f t="shared" si="21"/>
        <v>#REF!</v>
      </c>
      <c r="V84" s="140" t="e">
        <f t="shared" si="22"/>
        <v>#REF!</v>
      </c>
    </row>
    <row r="85" spans="2:22 16044:16044" ht="18" x14ac:dyDescent="0.2">
      <c r="B85" s="141" t="e">
        <f>#REF!</f>
        <v>#REF!</v>
      </c>
      <c r="C85" s="141" t="e">
        <f>#REF!</f>
        <v>#REF!</v>
      </c>
      <c r="D85" s="142" t="e">
        <f>PROPER(#REF!)</f>
        <v>#REF!</v>
      </c>
      <c r="E85" s="142" t="e">
        <f>PROPER(#REF!)</f>
        <v>#REF!</v>
      </c>
      <c r="F85" s="135" t="e">
        <f>VLOOKUP(Table1345[[#This Row],[R No.]],'sheet 1'!#REF!,7,FALSE)</f>
        <v>#REF!</v>
      </c>
      <c r="G85" s="135" t="e">
        <f>VLOOKUP(Table1345[[#This Row],[R No.]],'sheet 1'!#REF!,11,FALSE)</f>
        <v>#REF!</v>
      </c>
      <c r="H85" s="135" t="e">
        <f>VLOOKUP(Table1345[[#This Row],[R No.]],'sheet 1'!#REF!,15,FALSE)</f>
        <v>#REF!</v>
      </c>
      <c r="I85" s="135" t="e">
        <f>VLOOKUP(Table1345[[#This Row],[R No.]],'sheet 1'!#REF!,19,FALSE)</f>
        <v>#REF!</v>
      </c>
      <c r="J85" s="135" t="e">
        <f>VLOOKUP(Table1345[[#This Row],[R No.]],'sheet 1'!#REF!,23,FALSE)</f>
        <v>#REF!</v>
      </c>
      <c r="K85" s="136" t="e">
        <f>VLOOKUP(Table1345[[#This Row],[R No.]],'sheet 1'!#REF!,38,FALSE)</f>
        <v>#REF!</v>
      </c>
      <c r="L85" s="143" t="e">
        <f t="shared" si="14"/>
        <v>#REF!</v>
      </c>
      <c r="M85" s="141" t="e">
        <f t="shared" si="15"/>
        <v>#REF!</v>
      </c>
      <c r="N85" s="182" t="e">
        <f>VLOOKUP(Table1345[[#This Row],[R No.]],'sheet 1'!#REF!,41,FALSE)</f>
        <v>#REF!</v>
      </c>
      <c r="O85" s="138" t="e">
        <f t="shared" si="16"/>
        <v>#REF!</v>
      </c>
      <c r="Q85" s="123" t="e">
        <f t="shared" si="17"/>
        <v>#REF!</v>
      </c>
      <c r="R85" s="123" t="e">
        <f t="shared" si="18"/>
        <v>#REF!</v>
      </c>
      <c r="S85" s="123" t="e">
        <f t="shared" si="19"/>
        <v>#REF!</v>
      </c>
      <c r="T85" s="123" t="e">
        <f t="shared" si="20"/>
        <v>#REF!</v>
      </c>
      <c r="U85" s="123" t="e">
        <f t="shared" si="21"/>
        <v>#REF!</v>
      </c>
      <c r="V85" s="140" t="e">
        <f t="shared" si="22"/>
        <v>#REF!</v>
      </c>
      <c r="WSB85" s="144"/>
    </row>
    <row r="86" spans="2:22 16044:16044" ht="18" x14ac:dyDescent="0.2">
      <c r="B86" s="141" t="e">
        <f>#REF!</f>
        <v>#REF!</v>
      </c>
      <c r="C86" s="141" t="e">
        <f>#REF!</f>
        <v>#REF!</v>
      </c>
      <c r="D86" s="142" t="e">
        <f>PROPER(#REF!)</f>
        <v>#REF!</v>
      </c>
      <c r="E86" s="142" t="e">
        <f>PROPER(#REF!)</f>
        <v>#REF!</v>
      </c>
      <c r="F86" s="135" t="e">
        <f>VLOOKUP(Table1345[[#This Row],[R No.]],'sheet 1'!#REF!,7,FALSE)</f>
        <v>#REF!</v>
      </c>
      <c r="G86" s="135" t="e">
        <f>VLOOKUP(Table1345[[#This Row],[R No.]],'sheet 1'!#REF!,11,FALSE)</f>
        <v>#REF!</v>
      </c>
      <c r="H86" s="135" t="e">
        <f>VLOOKUP(Table1345[[#This Row],[R No.]],'sheet 1'!#REF!,15,FALSE)</f>
        <v>#REF!</v>
      </c>
      <c r="I86" s="135" t="e">
        <f>VLOOKUP(Table1345[[#This Row],[R No.]],'sheet 1'!#REF!,19,FALSE)</f>
        <v>#REF!</v>
      </c>
      <c r="J86" s="135" t="e">
        <f>VLOOKUP(Table1345[[#This Row],[R No.]],'sheet 1'!#REF!,23,FALSE)</f>
        <v>#REF!</v>
      </c>
      <c r="K86" s="136" t="e">
        <f>VLOOKUP(Table1345[[#This Row],[R No.]],'sheet 1'!#REF!,38,FALSE)</f>
        <v>#REF!</v>
      </c>
      <c r="L86" s="143" t="e">
        <f t="shared" si="14"/>
        <v>#REF!</v>
      </c>
      <c r="M86" s="141" t="e">
        <f t="shared" si="15"/>
        <v>#REF!</v>
      </c>
      <c r="N86" s="182" t="e">
        <f>VLOOKUP(Table1345[[#This Row],[R No.]],'sheet 1'!#REF!,41,FALSE)</f>
        <v>#REF!</v>
      </c>
      <c r="O86" s="138" t="e">
        <f t="shared" si="16"/>
        <v>#REF!</v>
      </c>
      <c r="Q86" s="123" t="e">
        <f t="shared" si="17"/>
        <v>#REF!</v>
      </c>
      <c r="R86" s="123" t="e">
        <f t="shared" si="18"/>
        <v>#REF!</v>
      </c>
      <c r="S86" s="123" t="e">
        <f t="shared" si="19"/>
        <v>#REF!</v>
      </c>
      <c r="T86" s="123" t="e">
        <f t="shared" si="20"/>
        <v>#REF!</v>
      </c>
      <c r="U86" s="123" t="e">
        <f t="shared" si="21"/>
        <v>#REF!</v>
      </c>
      <c r="V86" s="140" t="e">
        <f t="shared" si="22"/>
        <v>#REF!</v>
      </c>
    </row>
    <row r="87" spans="2:22 16044:16044" ht="18" x14ac:dyDescent="0.2">
      <c r="B87" s="141" t="e">
        <f>#REF!</f>
        <v>#REF!</v>
      </c>
      <c r="C87" s="141" t="e">
        <f>#REF!</f>
        <v>#REF!</v>
      </c>
      <c r="D87" s="142" t="e">
        <f>PROPER(#REF!)</f>
        <v>#REF!</v>
      </c>
      <c r="E87" s="142" t="e">
        <f>PROPER(#REF!)</f>
        <v>#REF!</v>
      </c>
      <c r="F87" s="135" t="e">
        <f>VLOOKUP(Table1345[[#This Row],[R No.]],'sheet 1'!#REF!,7,FALSE)</f>
        <v>#REF!</v>
      </c>
      <c r="G87" s="135" t="e">
        <f>VLOOKUP(Table1345[[#This Row],[R No.]],'sheet 1'!#REF!,11,FALSE)</f>
        <v>#REF!</v>
      </c>
      <c r="H87" s="135" t="e">
        <f>VLOOKUP(Table1345[[#This Row],[R No.]],'sheet 1'!#REF!,15,FALSE)</f>
        <v>#REF!</v>
      </c>
      <c r="I87" s="135" t="e">
        <f>VLOOKUP(Table1345[[#This Row],[R No.]],'sheet 1'!#REF!,19,FALSE)</f>
        <v>#REF!</v>
      </c>
      <c r="J87" s="135" t="e">
        <f>VLOOKUP(Table1345[[#This Row],[R No.]],'sheet 1'!#REF!,23,FALSE)</f>
        <v>#REF!</v>
      </c>
      <c r="K87" s="136" t="e">
        <f>VLOOKUP(Table1345[[#This Row],[R No.]],'sheet 1'!#REF!,38,FALSE)</f>
        <v>#REF!</v>
      </c>
      <c r="L87" s="143" t="e">
        <f t="shared" si="14"/>
        <v>#REF!</v>
      </c>
      <c r="M87" s="141" t="e">
        <f t="shared" si="15"/>
        <v>#REF!</v>
      </c>
      <c r="N87" s="182" t="e">
        <f>VLOOKUP(Table1345[[#This Row],[R No.]],'sheet 1'!#REF!,41,FALSE)</f>
        <v>#REF!</v>
      </c>
      <c r="O87" s="138" t="e">
        <f t="shared" si="16"/>
        <v>#REF!</v>
      </c>
      <c r="Q87" s="123" t="e">
        <f t="shared" si="17"/>
        <v>#REF!</v>
      </c>
      <c r="R87" s="123" t="e">
        <f t="shared" si="18"/>
        <v>#REF!</v>
      </c>
      <c r="S87" s="123" t="e">
        <f t="shared" si="19"/>
        <v>#REF!</v>
      </c>
      <c r="T87" s="123" t="e">
        <f t="shared" si="20"/>
        <v>#REF!</v>
      </c>
      <c r="U87" s="123" t="e">
        <f t="shared" si="21"/>
        <v>#REF!</v>
      </c>
      <c r="V87" s="140" t="e">
        <f t="shared" si="22"/>
        <v>#REF!</v>
      </c>
    </row>
    <row r="88" spans="2:22 16044:16044" ht="18" x14ac:dyDescent="0.2">
      <c r="B88" s="141" t="e">
        <f>#REF!</f>
        <v>#REF!</v>
      </c>
      <c r="C88" s="141" t="e">
        <f>#REF!</f>
        <v>#REF!</v>
      </c>
      <c r="D88" s="142" t="e">
        <f>PROPER(#REF!)</f>
        <v>#REF!</v>
      </c>
      <c r="E88" s="142" t="e">
        <f>PROPER(#REF!)</f>
        <v>#REF!</v>
      </c>
      <c r="F88" s="135" t="e">
        <f>VLOOKUP(Table1345[[#This Row],[R No.]],'sheet 1'!#REF!,7,FALSE)</f>
        <v>#REF!</v>
      </c>
      <c r="G88" s="135" t="e">
        <f>VLOOKUP(Table1345[[#This Row],[R No.]],'sheet 1'!#REF!,11,FALSE)</f>
        <v>#REF!</v>
      </c>
      <c r="H88" s="135" t="e">
        <f>VLOOKUP(Table1345[[#This Row],[R No.]],'sheet 1'!#REF!,15,FALSE)</f>
        <v>#REF!</v>
      </c>
      <c r="I88" s="135" t="e">
        <f>VLOOKUP(Table1345[[#This Row],[R No.]],'sheet 1'!#REF!,19,FALSE)</f>
        <v>#REF!</v>
      </c>
      <c r="J88" s="135" t="e">
        <f>VLOOKUP(Table1345[[#This Row],[R No.]],'sheet 1'!#REF!,23,FALSE)</f>
        <v>#REF!</v>
      </c>
      <c r="K88" s="136" t="e">
        <f>VLOOKUP(Table1345[[#This Row],[R No.]],'sheet 1'!#REF!,38,FALSE)</f>
        <v>#REF!</v>
      </c>
      <c r="L88" s="143" t="e">
        <f t="shared" si="14"/>
        <v>#REF!</v>
      </c>
      <c r="M88" s="141" t="e">
        <f t="shared" si="15"/>
        <v>#REF!</v>
      </c>
      <c r="N88" s="182" t="e">
        <f>VLOOKUP(Table1345[[#This Row],[R No.]],'sheet 1'!#REF!,41,FALSE)</f>
        <v>#REF!</v>
      </c>
      <c r="O88" s="138" t="e">
        <f t="shared" si="16"/>
        <v>#REF!</v>
      </c>
      <c r="Q88" s="123" t="e">
        <f t="shared" si="17"/>
        <v>#REF!</v>
      </c>
      <c r="R88" s="123" t="e">
        <f t="shared" si="18"/>
        <v>#REF!</v>
      </c>
      <c r="S88" s="123" t="e">
        <f t="shared" si="19"/>
        <v>#REF!</v>
      </c>
      <c r="T88" s="123" t="e">
        <f t="shared" si="20"/>
        <v>#REF!</v>
      </c>
      <c r="U88" s="123" t="e">
        <f t="shared" si="21"/>
        <v>#REF!</v>
      </c>
      <c r="V88" s="140" t="e">
        <f t="shared" si="22"/>
        <v>#REF!</v>
      </c>
    </row>
    <row r="89" spans="2:22 16044:16044" ht="18" x14ac:dyDescent="0.2">
      <c r="B89" s="141" t="e">
        <f>#REF!</f>
        <v>#REF!</v>
      </c>
      <c r="C89" s="141" t="e">
        <f>#REF!</f>
        <v>#REF!</v>
      </c>
      <c r="D89" s="142" t="e">
        <f>PROPER(#REF!)</f>
        <v>#REF!</v>
      </c>
      <c r="E89" s="142" t="e">
        <f>PROPER(#REF!)</f>
        <v>#REF!</v>
      </c>
      <c r="F89" s="135" t="e">
        <f>VLOOKUP(Table1345[[#This Row],[R No.]],'sheet 1'!#REF!,7,FALSE)</f>
        <v>#REF!</v>
      </c>
      <c r="G89" s="135" t="e">
        <f>VLOOKUP(Table1345[[#This Row],[R No.]],'sheet 1'!#REF!,11,FALSE)</f>
        <v>#REF!</v>
      </c>
      <c r="H89" s="135" t="e">
        <f>VLOOKUP(Table1345[[#This Row],[R No.]],'sheet 1'!#REF!,15,FALSE)</f>
        <v>#REF!</v>
      </c>
      <c r="I89" s="135" t="e">
        <f>VLOOKUP(Table1345[[#This Row],[R No.]],'sheet 1'!#REF!,19,FALSE)</f>
        <v>#REF!</v>
      </c>
      <c r="J89" s="135" t="e">
        <f>VLOOKUP(Table1345[[#This Row],[R No.]],'sheet 1'!#REF!,23,FALSE)</f>
        <v>#REF!</v>
      </c>
      <c r="K89" s="136" t="e">
        <f>VLOOKUP(Table1345[[#This Row],[R No.]],'sheet 1'!#REF!,38,FALSE)</f>
        <v>#REF!</v>
      </c>
      <c r="L89" s="143" t="e">
        <f t="shared" si="14"/>
        <v>#REF!</v>
      </c>
      <c r="M89" s="141" t="e">
        <f t="shared" si="15"/>
        <v>#REF!</v>
      </c>
      <c r="N89" s="182" t="e">
        <f>VLOOKUP(Table1345[[#This Row],[R No.]],'sheet 1'!#REF!,41,FALSE)</f>
        <v>#REF!</v>
      </c>
      <c r="O89" s="138" t="e">
        <f t="shared" si="16"/>
        <v>#REF!</v>
      </c>
      <c r="Q89" s="123" t="e">
        <f t="shared" si="17"/>
        <v>#REF!</v>
      </c>
      <c r="R89" s="123" t="e">
        <f t="shared" si="18"/>
        <v>#REF!</v>
      </c>
      <c r="S89" s="123" t="e">
        <f t="shared" si="19"/>
        <v>#REF!</v>
      </c>
      <c r="T89" s="123" t="e">
        <f t="shared" si="20"/>
        <v>#REF!</v>
      </c>
      <c r="U89" s="123" t="e">
        <f t="shared" si="21"/>
        <v>#REF!</v>
      </c>
      <c r="V89" s="140" t="e">
        <f t="shared" si="22"/>
        <v>#REF!</v>
      </c>
    </row>
    <row r="90" spans="2:22 16044:16044" ht="18" x14ac:dyDescent="0.2">
      <c r="B90" s="141" t="e">
        <f>#REF!</f>
        <v>#REF!</v>
      </c>
      <c r="C90" s="141" t="e">
        <f>#REF!</f>
        <v>#REF!</v>
      </c>
      <c r="D90" s="142" t="e">
        <f>PROPER(#REF!)</f>
        <v>#REF!</v>
      </c>
      <c r="E90" s="142" t="e">
        <f>PROPER(#REF!)</f>
        <v>#REF!</v>
      </c>
      <c r="F90" s="135" t="e">
        <f>VLOOKUP(Table1345[[#This Row],[R No.]],'sheet 1'!#REF!,7,FALSE)</f>
        <v>#REF!</v>
      </c>
      <c r="G90" s="135" t="e">
        <f>VLOOKUP(Table1345[[#This Row],[R No.]],'sheet 1'!#REF!,11,FALSE)</f>
        <v>#REF!</v>
      </c>
      <c r="H90" s="135" t="e">
        <f>VLOOKUP(Table1345[[#This Row],[R No.]],'sheet 1'!#REF!,15,FALSE)</f>
        <v>#REF!</v>
      </c>
      <c r="I90" s="135" t="e">
        <f>VLOOKUP(Table1345[[#This Row],[R No.]],'sheet 1'!#REF!,19,FALSE)</f>
        <v>#REF!</v>
      </c>
      <c r="J90" s="135" t="e">
        <f>VLOOKUP(Table1345[[#This Row],[R No.]],'sheet 1'!#REF!,23,FALSE)</f>
        <v>#REF!</v>
      </c>
      <c r="K90" s="136" t="e">
        <f>VLOOKUP(Table1345[[#This Row],[R No.]],'sheet 1'!#REF!,38,FALSE)</f>
        <v>#REF!</v>
      </c>
      <c r="L90" s="143" t="e">
        <f t="shared" si="14"/>
        <v>#REF!</v>
      </c>
      <c r="M90" s="141" t="e">
        <f t="shared" si="15"/>
        <v>#REF!</v>
      </c>
      <c r="N90" s="182" t="e">
        <f>VLOOKUP(Table1345[[#This Row],[R No.]],'sheet 1'!#REF!,41,FALSE)</f>
        <v>#REF!</v>
      </c>
      <c r="O90" s="138" t="e">
        <f t="shared" si="16"/>
        <v>#REF!</v>
      </c>
      <c r="Q90" s="123" t="e">
        <f t="shared" si="17"/>
        <v>#REF!</v>
      </c>
      <c r="R90" s="123" t="e">
        <f t="shared" si="18"/>
        <v>#REF!</v>
      </c>
      <c r="S90" s="123" t="e">
        <f t="shared" si="19"/>
        <v>#REF!</v>
      </c>
      <c r="T90" s="123" t="e">
        <f t="shared" si="20"/>
        <v>#REF!</v>
      </c>
      <c r="U90" s="123" t="e">
        <f t="shared" si="21"/>
        <v>#REF!</v>
      </c>
      <c r="V90" s="140" t="e">
        <f t="shared" si="22"/>
        <v>#REF!</v>
      </c>
    </row>
    <row r="91" spans="2:22 16044:16044" ht="18" x14ac:dyDescent="0.2">
      <c r="B91" s="141" t="e">
        <f>#REF!</f>
        <v>#REF!</v>
      </c>
      <c r="C91" s="141" t="e">
        <f>#REF!</f>
        <v>#REF!</v>
      </c>
      <c r="D91" s="142" t="e">
        <f>PROPER(#REF!)</f>
        <v>#REF!</v>
      </c>
      <c r="E91" s="142" t="e">
        <f>PROPER(#REF!)</f>
        <v>#REF!</v>
      </c>
      <c r="F91" s="135" t="e">
        <f>VLOOKUP(Table1345[[#This Row],[R No.]],'sheet 1'!#REF!,7,FALSE)</f>
        <v>#REF!</v>
      </c>
      <c r="G91" s="135" t="e">
        <f>VLOOKUP(Table1345[[#This Row],[R No.]],'sheet 1'!#REF!,11,FALSE)</f>
        <v>#REF!</v>
      </c>
      <c r="H91" s="135" t="e">
        <f>VLOOKUP(Table1345[[#This Row],[R No.]],'sheet 1'!#REF!,15,FALSE)</f>
        <v>#REF!</v>
      </c>
      <c r="I91" s="135" t="e">
        <f>VLOOKUP(Table1345[[#This Row],[R No.]],'sheet 1'!#REF!,19,FALSE)</f>
        <v>#REF!</v>
      </c>
      <c r="J91" s="135" t="e">
        <f>VLOOKUP(Table1345[[#This Row],[R No.]],'sheet 1'!#REF!,23,FALSE)</f>
        <v>#REF!</v>
      </c>
      <c r="K91" s="136" t="e">
        <f>VLOOKUP(Table1345[[#This Row],[R No.]],'sheet 1'!#REF!,38,FALSE)</f>
        <v>#REF!</v>
      </c>
      <c r="L91" s="143" t="e">
        <f t="shared" si="14"/>
        <v>#REF!</v>
      </c>
      <c r="M91" s="141" t="e">
        <f t="shared" si="15"/>
        <v>#REF!</v>
      </c>
      <c r="N91" s="182" t="e">
        <f>VLOOKUP(Table1345[[#This Row],[R No.]],'sheet 1'!#REF!,41,FALSE)</f>
        <v>#REF!</v>
      </c>
      <c r="O91" s="138" t="e">
        <f t="shared" si="16"/>
        <v>#REF!</v>
      </c>
      <c r="Q91" s="123" t="e">
        <f t="shared" si="17"/>
        <v>#REF!</v>
      </c>
      <c r="R91" s="123" t="e">
        <f t="shared" si="18"/>
        <v>#REF!</v>
      </c>
      <c r="S91" s="123" t="e">
        <f t="shared" si="19"/>
        <v>#REF!</v>
      </c>
      <c r="T91" s="123" t="e">
        <f t="shared" si="20"/>
        <v>#REF!</v>
      </c>
      <c r="U91" s="123" t="e">
        <f t="shared" si="21"/>
        <v>#REF!</v>
      </c>
      <c r="V91" s="140" t="e">
        <f t="shared" si="22"/>
        <v>#REF!</v>
      </c>
    </row>
    <row r="92" spans="2:22 16044:16044" ht="18" x14ac:dyDescent="0.2">
      <c r="B92" s="141" t="e">
        <f>#REF!</f>
        <v>#REF!</v>
      </c>
      <c r="C92" s="141" t="e">
        <f>#REF!</f>
        <v>#REF!</v>
      </c>
      <c r="D92" s="142" t="e">
        <f>PROPER(#REF!)</f>
        <v>#REF!</v>
      </c>
      <c r="E92" s="142" t="e">
        <f>PROPER(#REF!)</f>
        <v>#REF!</v>
      </c>
      <c r="F92" s="135" t="e">
        <f>VLOOKUP(Table1345[[#This Row],[R No.]],'sheet 1'!#REF!,7,FALSE)</f>
        <v>#REF!</v>
      </c>
      <c r="G92" s="135" t="e">
        <f>VLOOKUP(Table1345[[#This Row],[R No.]],'sheet 1'!#REF!,11,FALSE)</f>
        <v>#REF!</v>
      </c>
      <c r="H92" s="135" t="e">
        <f>VLOOKUP(Table1345[[#This Row],[R No.]],'sheet 1'!#REF!,15,FALSE)</f>
        <v>#REF!</v>
      </c>
      <c r="I92" s="135" t="e">
        <f>VLOOKUP(Table1345[[#This Row],[R No.]],'sheet 1'!#REF!,19,FALSE)</f>
        <v>#REF!</v>
      </c>
      <c r="J92" s="135" t="e">
        <f>VLOOKUP(Table1345[[#This Row],[R No.]],'sheet 1'!#REF!,23,FALSE)</f>
        <v>#REF!</v>
      </c>
      <c r="K92" s="136" t="e">
        <f>VLOOKUP(Table1345[[#This Row],[R No.]],'sheet 1'!#REF!,38,FALSE)</f>
        <v>#REF!</v>
      </c>
      <c r="L92" s="143" t="e">
        <f t="shared" si="14"/>
        <v>#REF!</v>
      </c>
      <c r="M92" s="141" t="e">
        <f t="shared" si="15"/>
        <v>#REF!</v>
      </c>
      <c r="N92" s="182" t="e">
        <f>VLOOKUP(Table1345[[#This Row],[R No.]],'sheet 1'!#REF!,41,FALSE)</f>
        <v>#REF!</v>
      </c>
      <c r="O92" s="138" t="e">
        <f t="shared" si="16"/>
        <v>#REF!</v>
      </c>
      <c r="Q92" s="123" t="e">
        <f t="shared" si="17"/>
        <v>#REF!</v>
      </c>
      <c r="R92" s="123" t="e">
        <f t="shared" si="18"/>
        <v>#REF!</v>
      </c>
      <c r="S92" s="123" t="e">
        <f t="shared" si="19"/>
        <v>#REF!</v>
      </c>
      <c r="T92" s="123" t="e">
        <f t="shared" si="20"/>
        <v>#REF!</v>
      </c>
      <c r="U92" s="123" t="e">
        <f t="shared" si="21"/>
        <v>#REF!</v>
      </c>
      <c r="V92" s="140" t="e">
        <f t="shared" si="22"/>
        <v>#REF!</v>
      </c>
    </row>
    <row r="93" spans="2:22 16044:16044" ht="18" x14ac:dyDescent="0.2">
      <c r="B93" s="141" t="e">
        <f>#REF!</f>
        <v>#REF!</v>
      </c>
      <c r="C93" s="141" t="e">
        <f>#REF!</f>
        <v>#REF!</v>
      </c>
      <c r="D93" s="142" t="e">
        <f>PROPER(#REF!)</f>
        <v>#REF!</v>
      </c>
      <c r="E93" s="142" t="e">
        <f>PROPER(#REF!)</f>
        <v>#REF!</v>
      </c>
      <c r="F93" s="135" t="e">
        <f>VLOOKUP(Table1345[[#This Row],[R No.]],'sheet 1'!#REF!,7,FALSE)</f>
        <v>#REF!</v>
      </c>
      <c r="G93" s="135" t="e">
        <f>VLOOKUP(Table1345[[#This Row],[R No.]],'sheet 1'!#REF!,11,FALSE)</f>
        <v>#REF!</v>
      </c>
      <c r="H93" s="135" t="e">
        <f>VLOOKUP(Table1345[[#This Row],[R No.]],'sheet 1'!#REF!,15,FALSE)</f>
        <v>#REF!</v>
      </c>
      <c r="I93" s="135" t="e">
        <f>VLOOKUP(Table1345[[#This Row],[R No.]],'sheet 1'!#REF!,19,FALSE)</f>
        <v>#REF!</v>
      </c>
      <c r="J93" s="135" t="e">
        <f>VLOOKUP(Table1345[[#This Row],[R No.]],'sheet 1'!#REF!,23,FALSE)</f>
        <v>#REF!</v>
      </c>
      <c r="K93" s="136" t="e">
        <f>VLOOKUP(Table1345[[#This Row],[R No.]],'sheet 1'!#REF!,38,FALSE)</f>
        <v>#REF!</v>
      </c>
      <c r="L93" s="143" t="e">
        <f t="shared" si="14"/>
        <v>#REF!</v>
      </c>
      <c r="M93" s="141" t="e">
        <f t="shared" si="15"/>
        <v>#REF!</v>
      </c>
      <c r="N93" s="182" t="e">
        <f>VLOOKUP(Table1345[[#This Row],[R No.]],'sheet 1'!#REF!,41,FALSE)</f>
        <v>#REF!</v>
      </c>
      <c r="O93" s="138" t="e">
        <f t="shared" si="16"/>
        <v>#REF!</v>
      </c>
      <c r="Q93" s="123" t="e">
        <f t="shared" si="17"/>
        <v>#REF!</v>
      </c>
      <c r="R93" s="123" t="e">
        <f t="shared" si="18"/>
        <v>#REF!</v>
      </c>
      <c r="S93" s="123" t="e">
        <f t="shared" si="19"/>
        <v>#REF!</v>
      </c>
      <c r="T93" s="123" t="e">
        <f t="shared" si="20"/>
        <v>#REF!</v>
      </c>
      <c r="U93" s="123" t="e">
        <f t="shared" si="21"/>
        <v>#REF!</v>
      </c>
      <c r="V93" s="140" t="e">
        <f t="shared" si="22"/>
        <v>#REF!</v>
      </c>
    </row>
    <row r="94" spans="2:22 16044:16044" ht="18" x14ac:dyDescent="0.2">
      <c r="B94" s="141" t="e">
        <f>#REF!</f>
        <v>#REF!</v>
      </c>
      <c r="C94" s="141" t="e">
        <f>#REF!</f>
        <v>#REF!</v>
      </c>
      <c r="D94" s="142" t="e">
        <f>PROPER(#REF!)</f>
        <v>#REF!</v>
      </c>
      <c r="E94" s="142" t="e">
        <f>PROPER(#REF!)</f>
        <v>#REF!</v>
      </c>
      <c r="F94" s="135" t="e">
        <f>VLOOKUP(Table1345[[#This Row],[R No.]],'sheet 1'!#REF!,7,FALSE)</f>
        <v>#REF!</v>
      </c>
      <c r="G94" s="135" t="e">
        <f>VLOOKUP(Table1345[[#This Row],[R No.]],'sheet 1'!#REF!,11,FALSE)</f>
        <v>#REF!</v>
      </c>
      <c r="H94" s="135" t="e">
        <f>VLOOKUP(Table1345[[#This Row],[R No.]],'sheet 1'!#REF!,15,FALSE)</f>
        <v>#REF!</v>
      </c>
      <c r="I94" s="135" t="e">
        <f>VLOOKUP(Table1345[[#This Row],[R No.]],'sheet 1'!#REF!,19,FALSE)</f>
        <v>#REF!</v>
      </c>
      <c r="J94" s="135" t="e">
        <f>VLOOKUP(Table1345[[#This Row],[R No.]],'sheet 1'!#REF!,23,FALSE)</f>
        <v>#REF!</v>
      </c>
      <c r="K94" s="136" t="e">
        <f>VLOOKUP(Table1345[[#This Row],[R No.]],'sheet 1'!#REF!,38,FALSE)</f>
        <v>#REF!</v>
      </c>
      <c r="L94" s="143" t="e">
        <f t="shared" si="14"/>
        <v>#REF!</v>
      </c>
      <c r="M94" s="141" t="e">
        <f t="shared" si="15"/>
        <v>#REF!</v>
      </c>
      <c r="N94" s="182" t="e">
        <f>VLOOKUP(Table1345[[#This Row],[R No.]],'sheet 1'!#REF!,41,FALSE)</f>
        <v>#REF!</v>
      </c>
      <c r="O94" s="138" t="e">
        <f t="shared" si="16"/>
        <v>#REF!</v>
      </c>
      <c r="Q94" s="123" t="e">
        <f t="shared" si="17"/>
        <v>#REF!</v>
      </c>
      <c r="R94" s="123" t="e">
        <f t="shared" si="18"/>
        <v>#REF!</v>
      </c>
      <c r="S94" s="123" t="e">
        <f t="shared" si="19"/>
        <v>#REF!</v>
      </c>
      <c r="T94" s="123" t="e">
        <f t="shared" si="20"/>
        <v>#REF!</v>
      </c>
      <c r="U94" s="123" t="e">
        <f t="shared" si="21"/>
        <v>#REF!</v>
      </c>
      <c r="V94" s="140" t="e">
        <f t="shared" si="22"/>
        <v>#REF!</v>
      </c>
    </row>
    <row r="95" spans="2:22 16044:16044" ht="18" x14ac:dyDescent="0.2">
      <c r="B95" s="141" t="e">
        <f>#REF!</f>
        <v>#REF!</v>
      </c>
      <c r="C95" s="141" t="e">
        <f>#REF!</f>
        <v>#REF!</v>
      </c>
      <c r="D95" s="142" t="e">
        <f>PROPER(#REF!)</f>
        <v>#REF!</v>
      </c>
      <c r="E95" s="142" t="e">
        <f>PROPER(#REF!)</f>
        <v>#REF!</v>
      </c>
      <c r="F95" s="135" t="e">
        <f>VLOOKUP(Table1345[[#This Row],[R No.]],'sheet 1'!#REF!,7,FALSE)</f>
        <v>#REF!</v>
      </c>
      <c r="G95" s="135" t="e">
        <f>VLOOKUP(Table1345[[#This Row],[R No.]],'sheet 1'!#REF!,11,FALSE)</f>
        <v>#REF!</v>
      </c>
      <c r="H95" s="135" t="e">
        <f>VLOOKUP(Table1345[[#This Row],[R No.]],'sheet 1'!#REF!,15,FALSE)</f>
        <v>#REF!</v>
      </c>
      <c r="I95" s="135" t="e">
        <f>VLOOKUP(Table1345[[#This Row],[R No.]],'sheet 1'!#REF!,19,FALSE)</f>
        <v>#REF!</v>
      </c>
      <c r="J95" s="135" t="e">
        <f>VLOOKUP(Table1345[[#This Row],[R No.]],'sheet 1'!#REF!,23,FALSE)</f>
        <v>#REF!</v>
      </c>
      <c r="K95" s="136" t="e">
        <f>VLOOKUP(Table1345[[#This Row],[R No.]],'sheet 1'!#REF!,38,FALSE)</f>
        <v>#REF!</v>
      </c>
      <c r="L95" s="143" t="e">
        <f t="shared" si="14"/>
        <v>#REF!</v>
      </c>
      <c r="M95" s="141" t="e">
        <f t="shared" si="15"/>
        <v>#REF!</v>
      </c>
      <c r="N95" s="182" t="e">
        <f>VLOOKUP(Table1345[[#This Row],[R No.]],'sheet 1'!#REF!,41,FALSE)</f>
        <v>#REF!</v>
      </c>
      <c r="O95" s="138" t="e">
        <f t="shared" si="16"/>
        <v>#REF!</v>
      </c>
      <c r="Q95" s="123" t="e">
        <f t="shared" si="17"/>
        <v>#REF!</v>
      </c>
      <c r="R95" s="123" t="e">
        <f t="shared" si="18"/>
        <v>#REF!</v>
      </c>
      <c r="S95" s="123" t="e">
        <f t="shared" si="19"/>
        <v>#REF!</v>
      </c>
      <c r="T95" s="123" t="e">
        <f t="shared" si="20"/>
        <v>#REF!</v>
      </c>
      <c r="U95" s="123" t="e">
        <f t="shared" si="21"/>
        <v>#REF!</v>
      </c>
      <c r="V95" s="140" t="e">
        <f t="shared" si="22"/>
        <v>#REF!</v>
      </c>
    </row>
    <row r="96" spans="2:22 16044:16044" ht="18" x14ac:dyDescent="0.2">
      <c r="B96" s="141" t="e">
        <f>#REF!</f>
        <v>#REF!</v>
      </c>
      <c r="C96" s="141" t="e">
        <f>#REF!</f>
        <v>#REF!</v>
      </c>
      <c r="D96" s="142" t="e">
        <f>PROPER(#REF!)</f>
        <v>#REF!</v>
      </c>
      <c r="E96" s="142" t="e">
        <f>PROPER(#REF!)</f>
        <v>#REF!</v>
      </c>
      <c r="F96" s="135" t="e">
        <f>VLOOKUP(Table1345[[#This Row],[R No.]],'sheet 1'!#REF!,7,FALSE)</f>
        <v>#REF!</v>
      </c>
      <c r="G96" s="135" t="e">
        <f>VLOOKUP(Table1345[[#This Row],[R No.]],'sheet 1'!#REF!,11,FALSE)</f>
        <v>#REF!</v>
      </c>
      <c r="H96" s="135" t="e">
        <f>VLOOKUP(Table1345[[#This Row],[R No.]],'sheet 1'!#REF!,15,FALSE)</f>
        <v>#REF!</v>
      </c>
      <c r="I96" s="135" t="e">
        <f>VLOOKUP(Table1345[[#This Row],[R No.]],'sheet 1'!#REF!,19,FALSE)</f>
        <v>#REF!</v>
      </c>
      <c r="J96" s="135" t="e">
        <f>VLOOKUP(Table1345[[#This Row],[R No.]],'sheet 1'!#REF!,23,FALSE)</f>
        <v>#REF!</v>
      </c>
      <c r="K96" s="136" t="e">
        <f>VLOOKUP(Table1345[[#This Row],[R No.]],'sheet 1'!#REF!,38,FALSE)</f>
        <v>#REF!</v>
      </c>
      <c r="L96" s="143" t="e">
        <f t="shared" si="14"/>
        <v>#REF!</v>
      </c>
      <c r="M96" s="141" t="e">
        <f t="shared" si="15"/>
        <v>#REF!</v>
      </c>
      <c r="N96" s="182" t="e">
        <f>VLOOKUP(Table1345[[#This Row],[R No.]],'sheet 1'!#REF!,41,FALSE)</f>
        <v>#REF!</v>
      </c>
      <c r="O96" s="138" t="e">
        <f t="shared" si="16"/>
        <v>#REF!</v>
      </c>
      <c r="Q96" s="123" t="e">
        <f t="shared" si="17"/>
        <v>#REF!</v>
      </c>
      <c r="R96" s="123" t="e">
        <f t="shared" si="18"/>
        <v>#REF!</v>
      </c>
      <c r="S96" s="123" t="e">
        <f t="shared" si="19"/>
        <v>#REF!</v>
      </c>
      <c r="T96" s="123" t="e">
        <f t="shared" si="20"/>
        <v>#REF!</v>
      </c>
      <c r="U96" s="123" t="e">
        <f t="shared" si="21"/>
        <v>#REF!</v>
      </c>
      <c r="V96" s="140" t="e">
        <f t="shared" si="22"/>
        <v>#REF!</v>
      </c>
    </row>
    <row r="97" spans="2:22" ht="18" x14ac:dyDescent="0.2">
      <c r="B97" s="141" t="e">
        <f>#REF!</f>
        <v>#REF!</v>
      </c>
      <c r="C97" s="141" t="e">
        <f>#REF!</f>
        <v>#REF!</v>
      </c>
      <c r="D97" s="142" t="e">
        <f>PROPER(#REF!)</f>
        <v>#REF!</v>
      </c>
      <c r="E97" s="142" t="e">
        <f>PROPER(#REF!)</f>
        <v>#REF!</v>
      </c>
      <c r="F97" s="135" t="e">
        <f>VLOOKUP(Table1345[[#This Row],[R No.]],'sheet 1'!#REF!,7,FALSE)</f>
        <v>#REF!</v>
      </c>
      <c r="G97" s="135" t="e">
        <f>VLOOKUP(Table1345[[#This Row],[R No.]],'sheet 1'!#REF!,11,FALSE)</f>
        <v>#REF!</v>
      </c>
      <c r="H97" s="135" t="e">
        <f>VLOOKUP(Table1345[[#This Row],[R No.]],'sheet 1'!#REF!,15,FALSE)</f>
        <v>#REF!</v>
      </c>
      <c r="I97" s="135" t="e">
        <f>VLOOKUP(Table1345[[#This Row],[R No.]],'sheet 1'!#REF!,19,FALSE)</f>
        <v>#REF!</v>
      </c>
      <c r="J97" s="135" t="e">
        <f>VLOOKUP(Table1345[[#This Row],[R No.]],'sheet 1'!#REF!,23,FALSE)</f>
        <v>#REF!</v>
      </c>
      <c r="K97" s="136" t="e">
        <f>VLOOKUP(Table1345[[#This Row],[R No.]],'sheet 1'!#REF!,38,FALSE)</f>
        <v>#REF!</v>
      </c>
      <c r="L97" s="143" t="e">
        <f t="shared" si="14"/>
        <v>#REF!</v>
      </c>
      <c r="M97" s="141" t="e">
        <f t="shared" si="15"/>
        <v>#REF!</v>
      </c>
      <c r="N97" s="182" t="e">
        <f>VLOOKUP(Table1345[[#This Row],[R No.]],'sheet 1'!#REF!,41,FALSE)</f>
        <v>#REF!</v>
      </c>
      <c r="O97" s="138" t="e">
        <f t="shared" si="16"/>
        <v>#REF!</v>
      </c>
      <c r="Q97" s="123" t="e">
        <f t="shared" si="17"/>
        <v>#REF!</v>
      </c>
      <c r="R97" s="123" t="e">
        <f t="shared" si="18"/>
        <v>#REF!</v>
      </c>
      <c r="S97" s="123" t="e">
        <f t="shared" si="19"/>
        <v>#REF!</v>
      </c>
      <c r="T97" s="123" t="e">
        <f t="shared" si="20"/>
        <v>#REF!</v>
      </c>
      <c r="U97" s="123" t="e">
        <f t="shared" si="21"/>
        <v>#REF!</v>
      </c>
      <c r="V97" s="140" t="e">
        <f t="shared" si="22"/>
        <v>#REF!</v>
      </c>
    </row>
    <row r="98" spans="2:22" ht="18" x14ac:dyDescent="0.2">
      <c r="B98" s="141" t="e">
        <f>#REF!</f>
        <v>#REF!</v>
      </c>
      <c r="C98" s="141" t="e">
        <f>#REF!</f>
        <v>#REF!</v>
      </c>
      <c r="D98" s="142" t="e">
        <f>PROPER(#REF!)</f>
        <v>#REF!</v>
      </c>
      <c r="E98" s="142" t="e">
        <f>PROPER(#REF!)</f>
        <v>#REF!</v>
      </c>
      <c r="F98" s="135" t="e">
        <f>VLOOKUP(Table1345[[#This Row],[R No.]],'sheet 1'!#REF!,7,FALSE)</f>
        <v>#REF!</v>
      </c>
      <c r="G98" s="135" t="e">
        <f>VLOOKUP(Table1345[[#This Row],[R No.]],'sheet 1'!#REF!,11,FALSE)</f>
        <v>#REF!</v>
      </c>
      <c r="H98" s="135" t="e">
        <f>VLOOKUP(Table1345[[#This Row],[R No.]],'sheet 1'!#REF!,15,FALSE)</f>
        <v>#REF!</v>
      </c>
      <c r="I98" s="135" t="e">
        <f>VLOOKUP(Table1345[[#This Row],[R No.]],'sheet 1'!#REF!,19,FALSE)</f>
        <v>#REF!</v>
      </c>
      <c r="J98" s="135" t="e">
        <f>VLOOKUP(Table1345[[#This Row],[R No.]],'sheet 1'!#REF!,23,FALSE)</f>
        <v>#REF!</v>
      </c>
      <c r="K98" s="136" t="e">
        <f>VLOOKUP(Table1345[[#This Row],[R No.]],'sheet 1'!#REF!,38,FALSE)</f>
        <v>#REF!</v>
      </c>
      <c r="L98" s="143" t="e">
        <f t="shared" si="14"/>
        <v>#REF!</v>
      </c>
      <c r="M98" s="141" t="e">
        <f t="shared" si="15"/>
        <v>#REF!</v>
      </c>
      <c r="N98" s="182" t="e">
        <f>VLOOKUP(Table1345[[#This Row],[R No.]],'sheet 1'!#REF!,41,FALSE)</f>
        <v>#REF!</v>
      </c>
      <c r="O98" s="138" t="e">
        <f t="shared" si="16"/>
        <v>#REF!</v>
      </c>
      <c r="Q98" s="123" t="e">
        <f t="shared" si="17"/>
        <v>#REF!</v>
      </c>
      <c r="R98" s="123" t="e">
        <f t="shared" si="18"/>
        <v>#REF!</v>
      </c>
      <c r="S98" s="123" t="e">
        <f t="shared" si="19"/>
        <v>#REF!</v>
      </c>
      <c r="T98" s="123" t="e">
        <f t="shared" si="20"/>
        <v>#REF!</v>
      </c>
      <c r="U98" s="123" t="e">
        <f t="shared" si="21"/>
        <v>#REF!</v>
      </c>
      <c r="V98" s="140" t="e">
        <f t="shared" si="22"/>
        <v>#REF!</v>
      </c>
    </row>
    <row r="99" spans="2:22" ht="18" x14ac:dyDescent="0.2">
      <c r="B99" s="141" t="e">
        <f>#REF!</f>
        <v>#REF!</v>
      </c>
      <c r="C99" s="141" t="e">
        <f>#REF!</f>
        <v>#REF!</v>
      </c>
      <c r="D99" s="142" t="e">
        <f>PROPER(#REF!)</f>
        <v>#REF!</v>
      </c>
      <c r="E99" s="142" t="e">
        <f>PROPER(#REF!)</f>
        <v>#REF!</v>
      </c>
      <c r="F99" s="135" t="e">
        <f>VLOOKUP(Table1345[[#This Row],[R No.]],'sheet 1'!#REF!,7,FALSE)</f>
        <v>#REF!</v>
      </c>
      <c r="G99" s="135" t="e">
        <f>VLOOKUP(Table1345[[#This Row],[R No.]],'sheet 1'!#REF!,11,FALSE)</f>
        <v>#REF!</v>
      </c>
      <c r="H99" s="135" t="e">
        <f>VLOOKUP(Table1345[[#This Row],[R No.]],'sheet 1'!#REF!,15,FALSE)</f>
        <v>#REF!</v>
      </c>
      <c r="I99" s="135" t="e">
        <f>VLOOKUP(Table1345[[#This Row],[R No.]],'sheet 1'!#REF!,19,FALSE)</f>
        <v>#REF!</v>
      </c>
      <c r="J99" s="135" t="e">
        <f>VLOOKUP(Table1345[[#This Row],[R No.]],'sheet 1'!#REF!,23,FALSE)</f>
        <v>#REF!</v>
      </c>
      <c r="K99" s="136" t="e">
        <f>VLOOKUP(Table1345[[#This Row],[R No.]],'sheet 1'!#REF!,38,FALSE)</f>
        <v>#REF!</v>
      </c>
      <c r="L99" s="143" t="e">
        <f t="shared" si="14"/>
        <v>#REF!</v>
      </c>
      <c r="M99" s="141" t="e">
        <f t="shared" si="15"/>
        <v>#REF!</v>
      </c>
      <c r="N99" s="182" t="e">
        <f>VLOOKUP(Table1345[[#This Row],[R No.]],'sheet 1'!#REF!,41,FALSE)</f>
        <v>#REF!</v>
      </c>
      <c r="O99" s="138" t="e">
        <f t="shared" si="16"/>
        <v>#REF!</v>
      </c>
      <c r="Q99" s="123" t="e">
        <f t="shared" si="17"/>
        <v>#REF!</v>
      </c>
      <c r="R99" s="123" t="e">
        <f t="shared" si="18"/>
        <v>#REF!</v>
      </c>
      <c r="S99" s="123" t="e">
        <f t="shared" si="19"/>
        <v>#REF!</v>
      </c>
      <c r="T99" s="123" t="e">
        <f t="shared" si="20"/>
        <v>#REF!</v>
      </c>
      <c r="U99" s="123" t="e">
        <f t="shared" si="21"/>
        <v>#REF!</v>
      </c>
      <c r="V99" s="140" t="e">
        <f t="shared" si="22"/>
        <v>#REF!</v>
      </c>
    </row>
    <row r="100" spans="2:22" ht="18" x14ac:dyDescent="0.2">
      <c r="B100" s="141" t="e">
        <f>#REF!</f>
        <v>#REF!</v>
      </c>
      <c r="C100" s="141" t="e">
        <f>#REF!</f>
        <v>#REF!</v>
      </c>
      <c r="D100" s="142" t="e">
        <f>PROPER(#REF!)</f>
        <v>#REF!</v>
      </c>
      <c r="E100" s="142" t="e">
        <f>PROPER(#REF!)</f>
        <v>#REF!</v>
      </c>
      <c r="F100" s="135" t="e">
        <f>VLOOKUP(Table1345[[#This Row],[R No.]],'sheet 1'!#REF!,7,FALSE)</f>
        <v>#REF!</v>
      </c>
      <c r="G100" s="135" t="e">
        <f>VLOOKUP(Table1345[[#This Row],[R No.]],'sheet 1'!#REF!,11,FALSE)</f>
        <v>#REF!</v>
      </c>
      <c r="H100" s="135" t="e">
        <f>VLOOKUP(Table1345[[#This Row],[R No.]],'sheet 1'!#REF!,15,FALSE)</f>
        <v>#REF!</v>
      </c>
      <c r="I100" s="135" t="e">
        <f>VLOOKUP(Table1345[[#This Row],[R No.]],'sheet 1'!#REF!,19,FALSE)</f>
        <v>#REF!</v>
      </c>
      <c r="J100" s="135" t="e">
        <f>VLOOKUP(Table1345[[#This Row],[R No.]],'sheet 1'!#REF!,23,FALSE)</f>
        <v>#REF!</v>
      </c>
      <c r="K100" s="136" t="e">
        <f>VLOOKUP(Table1345[[#This Row],[R No.]],'sheet 1'!#REF!,38,FALSE)</f>
        <v>#REF!</v>
      </c>
      <c r="L100" s="143" t="e">
        <f t="shared" si="14"/>
        <v>#REF!</v>
      </c>
      <c r="M100" s="141" t="e">
        <f t="shared" si="15"/>
        <v>#REF!</v>
      </c>
      <c r="N100" s="182" t="e">
        <f>VLOOKUP(Table1345[[#This Row],[R No.]],'sheet 1'!#REF!,41,FALSE)</f>
        <v>#REF!</v>
      </c>
      <c r="O100" s="138" t="e">
        <f t="shared" si="16"/>
        <v>#REF!</v>
      </c>
      <c r="Q100" s="123" t="e">
        <f t="shared" si="17"/>
        <v>#REF!</v>
      </c>
      <c r="R100" s="123" t="e">
        <f t="shared" si="18"/>
        <v>#REF!</v>
      </c>
      <c r="S100" s="123" t="e">
        <f t="shared" si="19"/>
        <v>#REF!</v>
      </c>
      <c r="T100" s="123" t="e">
        <f t="shared" si="20"/>
        <v>#REF!</v>
      </c>
      <c r="U100" s="123" t="e">
        <f t="shared" si="21"/>
        <v>#REF!</v>
      </c>
      <c r="V100" s="140" t="e">
        <f t="shared" si="22"/>
        <v>#REF!</v>
      </c>
    </row>
    <row r="101" spans="2:22" ht="18" x14ac:dyDescent="0.2">
      <c r="B101" s="141" t="e">
        <f>#REF!</f>
        <v>#REF!</v>
      </c>
      <c r="C101" s="141" t="e">
        <f>#REF!</f>
        <v>#REF!</v>
      </c>
      <c r="D101" s="142" t="e">
        <f>PROPER(#REF!)</f>
        <v>#REF!</v>
      </c>
      <c r="E101" s="142" t="e">
        <f>PROPER(#REF!)</f>
        <v>#REF!</v>
      </c>
      <c r="F101" s="135" t="e">
        <f>VLOOKUP(Table1345[[#This Row],[R No.]],'sheet 1'!#REF!,7,FALSE)</f>
        <v>#REF!</v>
      </c>
      <c r="G101" s="135" t="e">
        <f>VLOOKUP(Table1345[[#This Row],[R No.]],'sheet 1'!#REF!,11,FALSE)</f>
        <v>#REF!</v>
      </c>
      <c r="H101" s="135" t="e">
        <f>VLOOKUP(Table1345[[#This Row],[R No.]],'sheet 1'!#REF!,15,FALSE)</f>
        <v>#REF!</v>
      </c>
      <c r="I101" s="135" t="e">
        <f>VLOOKUP(Table1345[[#This Row],[R No.]],'sheet 1'!#REF!,19,FALSE)</f>
        <v>#REF!</v>
      </c>
      <c r="J101" s="135" t="e">
        <f>VLOOKUP(Table1345[[#This Row],[R No.]],'sheet 1'!#REF!,23,FALSE)</f>
        <v>#REF!</v>
      </c>
      <c r="K101" s="136" t="e">
        <f>VLOOKUP(Table1345[[#This Row],[R No.]],'sheet 1'!#REF!,38,FALSE)</f>
        <v>#REF!</v>
      </c>
      <c r="L101" s="143" t="e">
        <f t="shared" si="14"/>
        <v>#REF!</v>
      </c>
      <c r="M101" s="141" t="e">
        <f t="shared" si="15"/>
        <v>#REF!</v>
      </c>
      <c r="N101" s="182" t="e">
        <f>VLOOKUP(Table1345[[#This Row],[R No.]],'sheet 1'!#REF!,41,FALSE)</f>
        <v>#REF!</v>
      </c>
      <c r="O101" s="138" t="e">
        <f t="shared" si="16"/>
        <v>#REF!</v>
      </c>
      <c r="Q101" s="123" t="e">
        <f t="shared" si="17"/>
        <v>#REF!</v>
      </c>
      <c r="R101" s="123" t="e">
        <f t="shared" si="18"/>
        <v>#REF!</v>
      </c>
      <c r="S101" s="123" t="e">
        <f t="shared" si="19"/>
        <v>#REF!</v>
      </c>
      <c r="T101" s="123" t="e">
        <f t="shared" si="20"/>
        <v>#REF!</v>
      </c>
      <c r="U101" s="123" t="e">
        <f t="shared" si="21"/>
        <v>#REF!</v>
      </c>
      <c r="V101" s="140" t="e">
        <f t="shared" si="22"/>
        <v>#REF!</v>
      </c>
    </row>
    <row r="102" spans="2:22" ht="18" x14ac:dyDescent="0.2">
      <c r="B102" s="141" t="e">
        <f>#REF!</f>
        <v>#REF!</v>
      </c>
      <c r="C102" s="141" t="e">
        <f>#REF!</f>
        <v>#REF!</v>
      </c>
      <c r="D102" s="142" t="e">
        <f>PROPER(#REF!)</f>
        <v>#REF!</v>
      </c>
      <c r="E102" s="142" t="e">
        <f>PROPER(#REF!)</f>
        <v>#REF!</v>
      </c>
      <c r="F102" s="135" t="e">
        <f>VLOOKUP(Table1345[[#This Row],[R No.]],'sheet 1'!#REF!,7,FALSE)</f>
        <v>#REF!</v>
      </c>
      <c r="G102" s="135" t="e">
        <f>VLOOKUP(Table1345[[#This Row],[R No.]],'sheet 1'!#REF!,11,FALSE)</f>
        <v>#REF!</v>
      </c>
      <c r="H102" s="135" t="e">
        <f>VLOOKUP(Table1345[[#This Row],[R No.]],'sheet 1'!#REF!,15,FALSE)</f>
        <v>#REF!</v>
      </c>
      <c r="I102" s="135" t="e">
        <f>VLOOKUP(Table1345[[#This Row],[R No.]],'sheet 1'!#REF!,19,FALSE)</f>
        <v>#REF!</v>
      </c>
      <c r="J102" s="135" t="e">
        <f>VLOOKUP(Table1345[[#This Row],[R No.]],'sheet 1'!#REF!,23,FALSE)</f>
        <v>#REF!</v>
      </c>
      <c r="K102" s="136" t="e">
        <f>VLOOKUP(Table1345[[#This Row],[R No.]],'sheet 1'!#REF!,38,FALSE)</f>
        <v>#REF!</v>
      </c>
      <c r="L102" s="143" t="e">
        <f t="shared" si="14"/>
        <v>#REF!</v>
      </c>
      <c r="M102" s="141" t="e">
        <f t="shared" si="15"/>
        <v>#REF!</v>
      </c>
      <c r="N102" s="182" t="e">
        <f>VLOOKUP(Table1345[[#This Row],[R No.]],'sheet 1'!#REF!,41,FALSE)</f>
        <v>#REF!</v>
      </c>
      <c r="O102" s="138" t="e">
        <f t="shared" si="16"/>
        <v>#REF!</v>
      </c>
      <c r="Q102" s="123" t="e">
        <f t="shared" si="17"/>
        <v>#REF!</v>
      </c>
      <c r="R102" s="123" t="e">
        <f t="shared" si="18"/>
        <v>#REF!</v>
      </c>
      <c r="S102" s="123" t="e">
        <f t="shared" si="19"/>
        <v>#REF!</v>
      </c>
      <c r="T102" s="123" t="e">
        <f t="shared" si="20"/>
        <v>#REF!</v>
      </c>
      <c r="U102" s="123" t="e">
        <f t="shared" si="21"/>
        <v>#REF!</v>
      </c>
      <c r="V102" s="140" t="e">
        <f t="shared" si="22"/>
        <v>#REF!</v>
      </c>
    </row>
    <row r="103" spans="2:22" ht="18" x14ac:dyDescent="0.2">
      <c r="B103" s="141" t="e">
        <f>#REF!</f>
        <v>#REF!</v>
      </c>
      <c r="C103" s="141" t="e">
        <f>#REF!</f>
        <v>#REF!</v>
      </c>
      <c r="D103" s="142" t="e">
        <f>PROPER(#REF!)</f>
        <v>#REF!</v>
      </c>
      <c r="E103" s="142" t="e">
        <f>PROPER(#REF!)</f>
        <v>#REF!</v>
      </c>
      <c r="F103" s="135" t="e">
        <f>VLOOKUP(Table1345[[#This Row],[R No.]],'sheet 1'!#REF!,7,FALSE)</f>
        <v>#REF!</v>
      </c>
      <c r="G103" s="135" t="e">
        <f>VLOOKUP(Table1345[[#This Row],[R No.]],'sheet 1'!#REF!,11,FALSE)</f>
        <v>#REF!</v>
      </c>
      <c r="H103" s="135" t="e">
        <f>VLOOKUP(Table1345[[#This Row],[R No.]],'sheet 1'!#REF!,15,FALSE)</f>
        <v>#REF!</v>
      </c>
      <c r="I103" s="135" t="e">
        <f>VLOOKUP(Table1345[[#This Row],[R No.]],'sheet 1'!#REF!,19,FALSE)</f>
        <v>#REF!</v>
      </c>
      <c r="J103" s="135" t="e">
        <f>VLOOKUP(Table1345[[#This Row],[R No.]],'sheet 1'!#REF!,23,FALSE)</f>
        <v>#REF!</v>
      </c>
      <c r="K103" s="136" t="e">
        <f>VLOOKUP(Table1345[[#This Row],[R No.]],'sheet 1'!#REF!,38,FALSE)</f>
        <v>#REF!</v>
      </c>
      <c r="L103" s="143" t="e">
        <f t="shared" si="14"/>
        <v>#REF!</v>
      </c>
      <c r="M103" s="141" t="e">
        <f t="shared" si="15"/>
        <v>#REF!</v>
      </c>
      <c r="N103" s="182" t="e">
        <f>VLOOKUP(Table1345[[#This Row],[R No.]],'sheet 1'!#REF!,41,FALSE)</f>
        <v>#REF!</v>
      </c>
      <c r="O103" s="138" t="e">
        <f t="shared" si="16"/>
        <v>#REF!</v>
      </c>
      <c r="Q103" s="123" t="e">
        <f t="shared" si="17"/>
        <v>#REF!</v>
      </c>
      <c r="R103" s="123" t="e">
        <f t="shared" si="18"/>
        <v>#REF!</v>
      </c>
      <c r="S103" s="123" t="e">
        <f t="shared" si="19"/>
        <v>#REF!</v>
      </c>
      <c r="T103" s="123" t="e">
        <f t="shared" si="20"/>
        <v>#REF!</v>
      </c>
      <c r="U103" s="123" t="e">
        <f t="shared" si="21"/>
        <v>#REF!</v>
      </c>
      <c r="V103" s="140" t="e">
        <f t="shared" si="22"/>
        <v>#REF!</v>
      </c>
    </row>
    <row r="104" spans="2:22" ht="18" x14ac:dyDescent="0.2">
      <c r="B104" s="141" t="e">
        <f>#REF!</f>
        <v>#REF!</v>
      </c>
      <c r="C104" s="141" t="e">
        <f>#REF!</f>
        <v>#REF!</v>
      </c>
      <c r="D104" s="142" t="e">
        <f>PROPER(#REF!)</f>
        <v>#REF!</v>
      </c>
      <c r="E104" s="142" t="e">
        <f>PROPER(#REF!)</f>
        <v>#REF!</v>
      </c>
      <c r="F104" s="135" t="e">
        <f>VLOOKUP(Table1345[[#This Row],[R No.]],'sheet 1'!#REF!,7,FALSE)</f>
        <v>#REF!</v>
      </c>
      <c r="G104" s="135" t="e">
        <f>VLOOKUP(Table1345[[#This Row],[R No.]],'sheet 1'!#REF!,11,FALSE)</f>
        <v>#REF!</v>
      </c>
      <c r="H104" s="135" t="e">
        <f>VLOOKUP(Table1345[[#This Row],[R No.]],'sheet 1'!#REF!,15,FALSE)</f>
        <v>#REF!</v>
      </c>
      <c r="I104" s="135" t="e">
        <f>VLOOKUP(Table1345[[#This Row],[R No.]],'sheet 1'!#REF!,19,FALSE)</f>
        <v>#REF!</v>
      </c>
      <c r="J104" s="135" t="e">
        <f>VLOOKUP(Table1345[[#This Row],[R No.]],'sheet 1'!#REF!,23,FALSE)</f>
        <v>#REF!</v>
      </c>
      <c r="K104" s="136" t="e">
        <f>VLOOKUP(Table1345[[#This Row],[R No.]],'sheet 1'!#REF!,38,FALSE)</f>
        <v>#REF!</v>
      </c>
      <c r="L104" s="143" t="e">
        <f t="shared" si="14"/>
        <v>#REF!</v>
      </c>
      <c r="M104" s="141" t="e">
        <f t="shared" si="15"/>
        <v>#REF!</v>
      </c>
      <c r="N104" s="182" t="e">
        <f>VLOOKUP(Table1345[[#This Row],[R No.]],'sheet 1'!#REF!,41,FALSE)</f>
        <v>#REF!</v>
      </c>
      <c r="O104" s="138" t="e">
        <f t="shared" si="16"/>
        <v>#REF!</v>
      </c>
      <c r="Q104" s="123" t="e">
        <f t="shared" si="17"/>
        <v>#REF!</v>
      </c>
      <c r="R104" s="123" t="e">
        <f t="shared" si="18"/>
        <v>#REF!</v>
      </c>
      <c r="S104" s="123" t="e">
        <f t="shared" si="19"/>
        <v>#REF!</v>
      </c>
      <c r="T104" s="123" t="e">
        <f t="shared" si="20"/>
        <v>#REF!</v>
      </c>
      <c r="U104" s="123" t="e">
        <f t="shared" si="21"/>
        <v>#REF!</v>
      </c>
      <c r="V104" s="140" t="e">
        <f t="shared" si="22"/>
        <v>#REF!</v>
      </c>
    </row>
    <row r="105" spans="2:22" ht="18" x14ac:dyDescent="0.2">
      <c r="B105" s="141" t="e">
        <f>#REF!</f>
        <v>#REF!</v>
      </c>
      <c r="C105" s="141" t="e">
        <f>#REF!</f>
        <v>#REF!</v>
      </c>
      <c r="D105" s="142" t="e">
        <f>PROPER(#REF!)</f>
        <v>#REF!</v>
      </c>
      <c r="E105" s="142" t="e">
        <f>PROPER(#REF!)</f>
        <v>#REF!</v>
      </c>
      <c r="F105" s="135" t="e">
        <f>VLOOKUP(Table1345[[#This Row],[R No.]],'sheet 1'!#REF!,7,FALSE)</f>
        <v>#REF!</v>
      </c>
      <c r="G105" s="135" t="e">
        <f>VLOOKUP(Table1345[[#This Row],[R No.]],'sheet 1'!#REF!,11,FALSE)</f>
        <v>#REF!</v>
      </c>
      <c r="H105" s="135" t="e">
        <f>VLOOKUP(Table1345[[#This Row],[R No.]],'sheet 1'!#REF!,15,FALSE)</f>
        <v>#REF!</v>
      </c>
      <c r="I105" s="135" t="e">
        <f>VLOOKUP(Table1345[[#This Row],[R No.]],'sheet 1'!#REF!,19,FALSE)</f>
        <v>#REF!</v>
      </c>
      <c r="J105" s="135" t="e">
        <f>VLOOKUP(Table1345[[#This Row],[R No.]],'sheet 1'!#REF!,23,FALSE)</f>
        <v>#REF!</v>
      </c>
      <c r="K105" s="136" t="e">
        <f>VLOOKUP(Table1345[[#This Row],[R No.]],'sheet 1'!#REF!,38,FALSE)</f>
        <v>#REF!</v>
      </c>
      <c r="L105" s="143" t="e">
        <f t="shared" si="14"/>
        <v>#REF!</v>
      </c>
      <c r="M105" s="141" t="e">
        <f t="shared" si="15"/>
        <v>#REF!</v>
      </c>
      <c r="N105" s="182" t="e">
        <f>VLOOKUP(Table1345[[#This Row],[R No.]],'sheet 1'!#REF!,41,FALSE)</f>
        <v>#REF!</v>
      </c>
      <c r="O105" s="138" t="e">
        <f t="shared" si="16"/>
        <v>#REF!</v>
      </c>
      <c r="Q105" s="123" t="e">
        <f t="shared" si="17"/>
        <v>#REF!</v>
      </c>
      <c r="R105" s="123" t="e">
        <f t="shared" si="18"/>
        <v>#REF!</v>
      </c>
      <c r="S105" s="123" t="e">
        <f t="shared" si="19"/>
        <v>#REF!</v>
      </c>
      <c r="T105" s="123" t="e">
        <f t="shared" si="20"/>
        <v>#REF!</v>
      </c>
      <c r="U105" s="123" t="e">
        <f t="shared" si="21"/>
        <v>#REF!</v>
      </c>
      <c r="V105" s="140" t="e">
        <f t="shared" si="22"/>
        <v>#REF!</v>
      </c>
    </row>
    <row r="106" spans="2:22" ht="18" x14ac:dyDescent="0.2">
      <c r="B106" s="141" t="e">
        <f>#REF!</f>
        <v>#REF!</v>
      </c>
      <c r="C106" s="141" t="e">
        <f>#REF!</f>
        <v>#REF!</v>
      </c>
      <c r="D106" s="142" t="e">
        <f>PROPER(#REF!)</f>
        <v>#REF!</v>
      </c>
      <c r="E106" s="142" t="e">
        <f>PROPER(#REF!)</f>
        <v>#REF!</v>
      </c>
      <c r="F106" s="135" t="e">
        <f>VLOOKUP(Table1345[[#This Row],[R No.]],'sheet 1'!#REF!,7,FALSE)</f>
        <v>#REF!</v>
      </c>
      <c r="G106" s="135" t="e">
        <f>VLOOKUP(Table1345[[#This Row],[R No.]],'sheet 1'!#REF!,11,FALSE)</f>
        <v>#REF!</v>
      </c>
      <c r="H106" s="135" t="e">
        <f>VLOOKUP(Table1345[[#This Row],[R No.]],'sheet 1'!#REF!,15,FALSE)</f>
        <v>#REF!</v>
      </c>
      <c r="I106" s="135" t="e">
        <f>VLOOKUP(Table1345[[#This Row],[R No.]],'sheet 1'!#REF!,19,FALSE)</f>
        <v>#REF!</v>
      </c>
      <c r="J106" s="135" t="e">
        <f>VLOOKUP(Table1345[[#This Row],[R No.]],'sheet 1'!#REF!,23,FALSE)</f>
        <v>#REF!</v>
      </c>
      <c r="K106" s="136" t="e">
        <f>VLOOKUP(Table1345[[#This Row],[R No.]],'sheet 1'!#REF!,38,FALSE)</f>
        <v>#REF!</v>
      </c>
      <c r="L106" s="143" t="e">
        <f t="shared" si="14"/>
        <v>#REF!</v>
      </c>
      <c r="M106" s="141" t="e">
        <f t="shared" si="15"/>
        <v>#REF!</v>
      </c>
      <c r="N106" s="182" t="e">
        <f>VLOOKUP(Table1345[[#This Row],[R No.]],'sheet 1'!#REF!,41,FALSE)</f>
        <v>#REF!</v>
      </c>
      <c r="O106" s="138" t="e">
        <f t="shared" si="16"/>
        <v>#REF!</v>
      </c>
      <c r="Q106" s="123" t="e">
        <f t="shared" ref="Q106:Q137" si="23">IF(F106="F",$F$9,"")</f>
        <v>#REF!</v>
      </c>
      <c r="R106" s="123" t="e">
        <f t="shared" ref="R106:R137" si="24">IF(G106="F",$G$9,"")</f>
        <v>#REF!</v>
      </c>
      <c r="S106" s="123" t="e">
        <f t="shared" ref="S106:S137" si="25">IF(H106="F",$H$9,"")</f>
        <v>#REF!</v>
      </c>
      <c r="T106" s="123" t="e">
        <f t="shared" ref="T106:T137" si="26">IF(I106="F",$I$9,"")</f>
        <v>#REF!</v>
      </c>
      <c r="U106" s="123" t="e">
        <f t="shared" ref="U106:U137" si="27">IF(J106="F",$J$9,"")</f>
        <v>#REF!</v>
      </c>
      <c r="V106" s="140" t="e">
        <f t="shared" si="22"/>
        <v>#REF!</v>
      </c>
    </row>
    <row r="107" spans="2:22" ht="18" x14ac:dyDescent="0.2">
      <c r="B107" s="141" t="e">
        <f>#REF!</f>
        <v>#REF!</v>
      </c>
      <c r="C107" s="141" t="e">
        <f>#REF!</f>
        <v>#REF!</v>
      </c>
      <c r="D107" s="142" t="e">
        <f>PROPER(#REF!)</f>
        <v>#REF!</v>
      </c>
      <c r="E107" s="142" t="e">
        <f>PROPER(#REF!)</f>
        <v>#REF!</v>
      </c>
      <c r="F107" s="135" t="e">
        <f>VLOOKUP(Table1345[[#This Row],[R No.]],'sheet 1'!#REF!,7,FALSE)</f>
        <v>#REF!</v>
      </c>
      <c r="G107" s="135" t="e">
        <f>VLOOKUP(Table1345[[#This Row],[R No.]],'sheet 1'!#REF!,11,FALSE)</f>
        <v>#REF!</v>
      </c>
      <c r="H107" s="135" t="e">
        <f>VLOOKUP(Table1345[[#This Row],[R No.]],'sheet 1'!#REF!,15,FALSE)</f>
        <v>#REF!</v>
      </c>
      <c r="I107" s="135" t="e">
        <f>VLOOKUP(Table1345[[#This Row],[R No.]],'sheet 1'!#REF!,19,FALSE)</f>
        <v>#REF!</v>
      </c>
      <c r="J107" s="135" t="e">
        <f>VLOOKUP(Table1345[[#This Row],[R No.]],'sheet 1'!#REF!,23,FALSE)</f>
        <v>#REF!</v>
      </c>
      <c r="K107" s="136" t="e">
        <f>VLOOKUP(Table1345[[#This Row],[R No.]],'sheet 1'!#REF!,38,FALSE)</f>
        <v>#REF!</v>
      </c>
      <c r="L107" s="143" t="e">
        <f t="shared" si="14"/>
        <v>#REF!</v>
      </c>
      <c r="M107" s="141" t="e">
        <f t="shared" si="15"/>
        <v>#REF!</v>
      </c>
      <c r="N107" s="182" t="e">
        <f>VLOOKUP(Table1345[[#This Row],[R No.]],'sheet 1'!#REF!,41,FALSE)</f>
        <v>#REF!</v>
      </c>
      <c r="O107" s="138" t="e">
        <f t="shared" si="16"/>
        <v>#REF!</v>
      </c>
      <c r="Q107" s="123" t="e">
        <f t="shared" si="23"/>
        <v>#REF!</v>
      </c>
      <c r="R107" s="123" t="e">
        <f t="shared" si="24"/>
        <v>#REF!</v>
      </c>
      <c r="S107" s="123" t="e">
        <f t="shared" si="25"/>
        <v>#REF!</v>
      </c>
      <c r="T107" s="123" t="e">
        <f t="shared" si="26"/>
        <v>#REF!</v>
      </c>
      <c r="U107" s="123" t="e">
        <f t="shared" si="27"/>
        <v>#REF!</v>
      </c>
      <c r="V107" s="140" t="e">
        <f t="shared" si="22"/>
        <v>#REF!</v>
      </c>
    </row>
    <row r="108" spans="2:22" ht="18" x14ac:dyDescent="0.2">
      <c r="B108" s="141" t="e">
        <f>#REF!</f>
        <v>#REF!</v>
      </c>
      <c r="C108" s="141" t="e">
        <f>#REF!</f>
        <v>#REF!</v>
      </c>
      <c r="D108" s="142" t="e">
        <f>PROPER(#REF!)</f>
        <v>#REF!</v>
      </c>
      <c r="E108" s="142" t="e">
        <f>PROPER(#REF!)</f>
        <v>#REF!</v>
      </c>
      <c r="F108" s="135" t="e">
        <f>VLOOKUP(Table1345[[#This Row],[R No.]],'sheet 1'!#REF!,7,FALSE)</f>
        <v>#REF!</v>
      </c>
      <c r="G108" s="135" t="e">
        <f>VLOOKUP(Table1345[[#This Row],[R No.]],'sheet 1'!#REF!,11,FALSE)</f>
        <v>#REF!</v>
      </c>
      <c r="H108" s="135" t="e">
        <f>VLOOKUP(Table1345[[#This Row],[R No.]],'sheet 1'!#REF!,15,FALSE)</f>
        <v>#REF!</v>
      </c>
      <c r="I108" s="135" t="e">
        <f>VLOOKUP(Table1345[[#This Row],[R No.]],'sheet 1'!#REF!,19,FALSE)</f>
        <v>#REF!</v>
      </c>
      <c r="J108" s="135" t="e">
        <f>VLOOKUP(Table1345[[#This Row],[R No.]],'sheet 1'!#REF!,23,FALSE)</f>
        <v>#REF!</v>
      </c>
      <c r="K108" s="136" t="e">
        <f>VLOOKUP(Table1345[[#This Row],[R No.]],'sheet 1'!#REF!,38,FALSE)</f>
        <v>#REF!</v>
      </c>
      <c r="L108" s="143" t="e">
        <f t="shared" si="14"/>
        <v>#REF!</v>
      </c>
      <c r="M108" s="141" t="e">
        <f t="shared" si="15"/>
        <v>#REF!</v>
      </c>
      <c r="N108" s="182" t="e">
        <f>VLOOKUP(Table1345[[#This Row],[R No.]],'sheet 1'!#REF!,41,FALSE)</f>
        <v>#REF!</v>
      </c>
      <c r="O108" s="138" t="e">
        <f t="shared" si="16"/>
        <v>#REF!</v>
      </c>
      <c r="Q108" s="123" t="e">
        <f t="shared" si="23"/>
        <v>#REF!</v>
      </c>
      <c r="R108" s="123" t="e">
        <f t="shared" si="24"/>
        <v>#REF!</v>
      </c>
      <c r="S108" s="123" t="e">
        <f t="shared" si="25"/>
        <v>#REF!</v>
      </c>
      <c r="T108" s="123" t="e">
        <f t="shared" si="26"/>
        <v>#REF!</v>
      </c>
      <c r="U108" s="123" t="e">
        <f t="shared" si="27"/>
        <v>#REF!</v>
      </c>
      <c r="V108" s="140" t="e">
        <f t="shared" si="22"/>
        <v>#REF!</v>
      </c>
    </row>
    <row r="109" spans="2:22" ht="18" x14ac:dyDescent="0.2">
      <c r="B109" s="141" t="e">
        <f>#REF!</f>
        <v>#REF!</v>
      </c>
      <c r="C109" s="141" t="e">
        <f>#REF!</f>
        <v>#REF!</v>
      </c>
      <c r="D109" s="142" t="e">
        <f>PROPER(#REF!)</f>
        <v>#REF!</v>
      </c>
      <c r="E109" s="142" t="e">
        <f>PROPER(#REF!)</f>
        <v>#REF!</v>
      </c>
      <c r="F109" s="135" t="e">
        <f>VLOOKUP(Table1345[[#This Row],[R No.]],'sheet 1'!#REF!,7,FALSE)</f>
        <v>#REF!</v>
      </c>
      <c r="G109" s="135" t="e">
        <f>VLOOKUP(Table1345[[#This Row],[R No.]],'sheet 1'!#REF!,11,FALSE)</f>
        <v>#REF!</v>
      </c>
      <c r="H109" s="135" t="e">
        <f>VLOOKUP(Table1345[[#This Row],[R No.]],'sheet 1'!#REF!,15,FALSE)</f>
        <v>#REF!</v>
      </c>
      <c r="I109" s="135" t="e">
        <f>VLOOKUP(Table1345[[#This Row],[R No.]],'sheet 1'!#REF!,19,FALSE)</f>
        <v>#REF!</v>
      </c>
      <c r="J109" s="135" t="e">
        <f>VLOOKUP(Table1345[[#This Row],[R No.]],'sheet 1'!#REF!,23,FALSE)</f>
        <v>#REF!</v>
      </c>
      <c r="K109" s="136" t="e">
        <f>VLOOKUP(Table1345[[#This Row],[R No.]],'sheet 1'!#REF!,38,FALSE)</f>
        <v>#REF!</v>
      </c>
      <c r="L109" s="143" t="e">
        <f t="shared" si="14"/>
        <v>#REF!</v>
      </c>
      <c r="M109" s="141" t="e">
        <f t="shared" si="15"/>
        <v>#REF!</v>
      </c>
      <c r="N109" s="182" t="e">
        <f>VLOOKUP(Table1345[[#This Row],[R No.]],'sheet 1'!#REF!,41,FALSE)</f>
        <v>#REF!</v>
      </c>
      <c r="O109" s="138" t="e">
        <f t="shared" si="16"/>
        <v>#REF!</v>
      </c>
      <c r="Q109" s="123" t="e">
        <f t="shared" si="23"/>
        <v>#REF!</v>
      </c>
      <c r="R109" s="123" t="e">
        <f t="shared" si="24"/>
        <v>#REF!</v>
      </c>
      <c r="S109" s="123" t="e">
        <f t="shared" si="25"/>
        <v>#REF!</v>
      </c>
      <c r="T109" s="123" t="e">
        <f t="shared" si="26"/>
        <v>#REF!</v>
      </c>
      <c r="U109" s="123" t="e">
        <f t="shared" si="27"/>
        <v>#REF!</v>
      </c>
      <c r="V109" s="140" t="e">
        <f t="shared" si="22"/>
        <v>#REF!</v>
      </c>
    </row>
    <row r="110" spans="2:22" ht="18" x14ac:dyDescent="0.2">
      <c r="B110" s="141" t="e">
        <f>#REF!</f>
        <v>#REF!</v>
      </c>
      <c r="C110" s="141" t="e">
        <f>#REF!</f>
        <v>#REF!</v>
      </c>
      <c r="D110" s="142" t="e">
        <f>PROPER(#REF!)</f>
        <v>#REF!</v>
      </c>
      <c r="E110" s="142" t="e">
        <f>PROPER(#REF!)</f>
        <v>#REF!</v>
      </c>
      <c r="F110" s="135" t="e">
        <f>VLOOKUP(Table1345[[#This Row],[R No.]],'sheet 1'!#REF!,7,FALSE)</f>
        <v>#REF!</v>
      </c>
      <c r="G110" s="135" t="e">
        <f>VLOOKUP(Table1345[[#This Row],[R No.]],'sheet 1'!#REF!,11,FALSE)</f>
        <v>#REF!</v>
      </c>
      <c r="H110" s="135" t="e">
        <f>VLOOKUP(Table1345[[#This Row],[R No.]],'sheet 1'!#REF!,15,FALSE)</f>
        <v>#REF!</v>
      </c>
      <c r="I110" s="135" t="e">
        <f>VLOOKUP(Table1345[[#This Row],[R No.]],'sheet 1'!#REF!,19,FALSE)</f>
        <v>#REF!</v>
      </c>
      <c r="J110" s="135" t="e">
        <f>VLOOKUP(Table1345[[#This Row],[R No.]],'sheet 1'!#REF!,23,FALSE)</f>
        <v>#REF!</v>
      </c>
      <c r="K110" s="136" t="e">
        <f>VLOOKUP(Table1345[[#This Row],[R No.]],'sheet 1'!#REF!,38,FALSE)</f>
        <v>#REF!</v>
      </c>
      <c r="L110" s="143" t="e">
        <f t="shared" si="14"/>
        <v>#REF!</v>
      </c>
      <c r="M110" s="141" t="e">
        <f t="shared" si="15"/>
        <v>#REF!</v>
      </c>
      <c r="N110" s="182" t="e">
        <f>VLOOKUP(Table1345[[#This Row],[R No.]],'sheet 1'!#REF!,41,FALSE)</f>
        <v>#REF!</v>
      </c>
      <c r="O110" s="138" t="e">
        <f t="shared" si="16"/>
        <v>#REF!</v>
      </c>
      <c r="Q110" s="123" t="e">
        <f t="shared" si="23"/>
        <v>#REF!</v>
      </c>
      <c r="R110" s="123" t="e">
        <f t="shared" si="24"/>
        <v>#REF!</v>
      </c>
      <c r="S110" s="123" t="e">
        <f t="shared" si="25"/>
        <v>#REF!</v>
      </c>
      <c r="T110" s="123" t="e">
        <f t="shared" si="26"/>
        <v>#REF!</v>
      </c>
      <c r="U110" s="123" t="e">
        <f t="shared" si="27"/>
        <v>#REF!</v>
      </c>
      <c r="V110" s="140" t="e">
        <f t="shared" si="22"/>
        <v>#REF!</v>
      </c>
    </row>
    <row r="111" spans="2:22" ht="18" x14ac:dyDescent="0.2">
      <c r="B111" s="141" t="e">
        <f>#REF!</f>
        <v>#REF!</v>
      </c>
      <c r="C111" s="141" t="e">
        <f>#REF!</f>
        <v>#REF!</v>
      </c>
      <c r="D111" s="142" t="e">
        <f>PROPER(#REF!)</f>
        <v>#REF!</v>
      </c>
      <c r="E111" s="142" t="e">
        <f>PROPER(#REF!)</f>
        <v>#REF!</v>
      </c>
      <c r="F111" s="135" t="e">
        <f>VLOOKUP(Table1345[[#This Row],[R No.]],'sheet 1'!#REF!,7,FALSE)</f>
        <v>#REF!</v>
      </c>
      <c r="G111" s="135" t="e">
        <f>VLOOKUP(Table1345[[#This Row],[R No.]],'sheet 1'!#REF!,11,FALSE)</f>
        <v>#REF!</v>
      </c>
      <c r="H111" s="135" t="e">
        <f>VLOOKUP(Table1345[[#This Row],[R No.]],'sheet 1'!#REF!,15,FALSE)</f>
        <v>#REF!</v>
      </c>
      <c r="I111" s="135" t="e">
        <f>VLOOKUP(Table1345[[#This Row],[R No.]],'sheet 1'!#REF!,19,FALSE)</f>
        <v>#REF!</v>
      </c>
      <c r="J111" s="135" t="e">
        <f>VLOOKUP(Table1345[[#This Row],[R No.]],'sheet 1'!#REF!,23,FALSE)</f>
        <v>#REF!</v>
      </c>
      <c r="K111" s="136" t="e">
        <f>VLOOKUP(Table1345[[#This Row],[R No.]],'sheet 1'!#REF!,38,FALSE)</f>
        <v>#REF!</v>
      </c>
      <c r="L111" s="143" t="e">
        <f t="shared" si="14"/>
        <v>#REF!</v>
      </c>
      <c r="M111" s="141" t="e">
        <f t="shared" si="15"/>
        <v>#REF!</v>
      </c>
      <c r="N111" s="182" t="e">
        <f>VLOOKUP(Table1345[[#This Row],[R No.]],'sheet 1'!#REF!,41,FALSE)</f>
        <v>#REF!</v>
      </c>
      <c r="O111" s="138" t="e">
        <f t="shared" si="16"/>
        <v>#REF!</v>
      </c>
      <c r="Q111" s="123" t="e">
        <f t="shared" si="23"/>
        <v>#REF!</v>
      </c>
      <c r="R111" s="123" t="e">
        <f t="shared" si="24"/>
        <v>#REF!</v>
      </c>
      <c r="S111" s="123" t="e">
        <f t="shared" si="25"/>
        <v>#REF!</v>
      </c>
      <c r="T111" s="123" t="e">
        <f t="shared" si="26"/>
        <v>#REF!</v>
      </c>
      <c r="U111" s="123" t="e">
        <f t="shared" si="27"/>
        <v>#REF!</v>
      </c>
      <c r="V111" s="140" t="e">
        <f t="shared" si="22"/>
        <v>#REF!</v>
      </c>
    </row>
    <row r="112" spans="2:22" ht="18" x14ac:dyDescent="0.2">
      <c r="B112" s="141" t="e">
        <f>#REF!</f>
        <v>#REF!</v>
      </c>
      <c r="C112" s="141" t="e">
        <f>#REF!</f>
        <v>#REF!</v>
      </c>
      <c r="D112" s="142" t="e">
        <f>PROPER(#REF!)</f>
        <v>#REF!</v>
      </c>
      <c r="E112" s="142" t="e">
        <f>PROPER(#REF!)</f>
        <v>#REF!</v>
      </c>
      <c r="F112" s="135" t="e">
        <f>VLOOKUP(Table1345[[#This Row],[R No.]],'sheet 1'!#REF!,7,FALSE)</f>
        <v>#REF!</v>
      </c>
      <c r="G112" s="135" t="e">
        <f>VLOOKUP(Table1345[[#This Row],[R No.]],'sheet 1'!#REF!,11,FALSE)</f>
        <v>#REF!</v>
      </c>
      <c r="H112" s="135" t="e">
        <f>VLOOKUP(Table1345[[#This Row],[R No.]],'sheet 1'!#REF!,15,FALSE)</f>
        <v>#REF!</v>
      </c>
      <c r="I112" s="135" t="e">
        <f>VLOOKUP(Table1345[[#This Row],[R No.]],'sheet 1'!#REF!,19,FALSE)</f>
        <v>#REF!</v>
      </c>
      <c r="J112" s="135" t="e">
        <f>VLOOKUP(Table1345[[#This Row],[R No.]],'sheet 1'!#REF!,23,FALSE)</f>
        <v>#REF!</v>
      </c>
      <c r="K112" s="136" t="e">
        <f>VLOOKUP(Table1345[[#This Row],[R No.]],'sheet 1'!#REF!,38,FALSE)</f>
        <v>#REF!</v>
      </c>
      <c r="L112" s="143" t="e">
        <f t="shared" si="14"/>
        <v>#REF!</v>
      </c>
      <c r="M112" s="141" t="e">
        <f t="shared" si="15"/>
        <v>#REF!</v>
      </c>
      <c r="N112" s="182" t="e">
        <f>VLOOKUP(Table1345[[#This Row],[R No.]],'sheet 1'!#REF!,41,FALSE)</f>
        <v>#REF!</v>
      </c>
      <c r="O112" s="138" t="e">
        <f t="shared" si="16"/>
        <v>#REF!</v>
      </c>
      <c r="Q112" s="123" t="e">
        <f t="shared" si="23"/>
        <v>#REF!</v>
      </c>
      <c r="R112" s="123" t="e">
        <f t="shared" si="24"/>
        <v>#REF!</v>
      </c>
      <c r="S112" s="123" t="e">
        <f t="shared" si="25"/>
        <v>#REF!</v>
      </c>
      <c r="T112" s="123" t="e">
        <f t="shared" si="26"/>
        <v>#REF!</v>
      </c>
      <c r="U112" s="123" t="e">
        <f t="shared" si="27"/>
        <v>#REF!</v>
      </c>
      <c r="V112" s="140" t="e">
        <f t="shared" si="22"/>
        <v>#REF!</v>
      </c>
    </row>
    <row r="113" spans="2:22" ht="18" x14ac:dyDescent="0.2">
      <c r="B113" s="141" t="e">
        <f>#REF!</f>
        <v>#REF!</v>
      </c>
      <c r="C113" s="141" t="e">
        <f>#REF!</f>
        <v>#REF!</v>
      </c>
      <c r="D113" s="142" t="e">
        <f>PROPER(#REF!)</f>
        <v>#REF!</v>
      </c>
      <c r="E113" s="142" t="e">
        <f>PROPER(#REF!)</f>
        <v>#REF!</v>
      </c>
      <c r="F113" s="135" t="e">
        <f>VLOOKUP(Table1345[[#This Row],[R No.]],'sheet 1'!#REF!,7,FALSE)</f>
        <v>#REF!</v>
      </c>
      <c r="G113" s="135" t="e">
        <f>VLOOKUP(Table1345[[#This Row],[R No.]],'sheet 1'!#REF!,11,FALSE)</f>
        <v>#REF!</v>
      </c>
      <c r="H113" s="135" t="e">
        <f>VLOOKUP(Table1345[[#This Row],[R No.]],'sheet 1'!#REF!,15,FALSE)</f>
        <v>#REF!</v>
      </c>
      <c r="I113" s="135" t="e">
        <f>VLOOKUP(Table1345[[#This Row],[R No.]],'sheet 1'!#REF!,19,FALSE)</f>
        <v>#REF!</v>
      </c>
      <c r="J113" s="135" t="e">
        <f>VLOOKUP(Table1345[[#This Row],[R No.]],'sheet 1'!#REF!,23,FALSE)</f>
        <v>#REF!</v>
      </c>
      <c r="K113" s="136" t="e">
        <f>VLOOKUP(Table1345[[#This Row],[R No.]],'sheet 1'!#REF!,38,FALSE)</f>
        <v>#REF!</v>
      </c>
      <c r="L113" s="143" t="e">
        <f t="shared" si="14"/>
        <v>#REF!</v>
      </c>
      <c r="M113" s="141" t="e">
        <f t="shared" si="15"/>
        <v>#REF!</v>
      </c>
      <c r="N113" s="182" t="e">
        <f>VLOOKUP(Table1345[[#This Row],[R No.]],'sheet 1'!#REF!,41,FALSE)</f>
        <v>#REF!</v>
      </c>
      <c r="O113" s="138" t="e">
        <f t="shared" si="16"/>
        <v>#REF!</v>
      </c>
      <c r="Q113" s="123" t="e">
        <f t="shared" si="23"/>
        <v>#REF!</v>
      </c>
      <c r="R113" s="123" t="e">
        <f t="shared" si="24"/>
        <v>#REF!</v>
      </c>
      <c r="S113" s="123" t="e">
        <f t="shared" si="25"/>
        <v>#REF!</v>
      </c>
      <c r="T113" s="123" t="e">
        <f t="shared" si="26"/>
        <v>#REF!</v>
      </c>
      <c r="U113" s="123" t="e">
        <f t="shared" si="27"/>
        <v>#REF!</v>
      </c>
      <c r="V113" s="140" t="e">
        <f t="shared" si="22"/>
        <v>#REF!</v>
      </c>
    </row>
    <row r="114" spans="2:22" ht="18" x14ac:dyDescent="0.2">
      <c r="B114" s="141" t="e">
        <f>#REF!</f>
        <v>#REF!</v>
      </c>
      <c r="C114" s="141" t="e">
        <f>#REF!</f>
        <v>#REF!</v>
      </c>
      <c r="D114" s="142" t="e">
        <f>PROPER(#REF!)</f>
        <v>#REF!</v>
      </c>
      <c r="E114" s="142" t="e">
        <f>PROPER(#REF!)</f>
        <v>#REF!</v>
      </c>
      <c r="F114" s="135" t="e">
        <f>VLOOKUP(Table1345[[#This Row],[R No.]],'sheet 1'!#REF!,7,FALSE)</f>
        <v>#REF!</v>
      </c>
      <c r="G114" s="135" t="e">
        <f>VLOOKUP(Table1345[[#This Row],[R No.]],'sheet 1'!#REF!,11,FALSE)</f>
        <v>#REF!</v>
      </c>
      <c r="H114" s="135" t="e">
        <f>VLOOKUP(Table1345[[#This Row],[R No.]],'sheet 1'!#REF!,15,FALSE)</f>
        <v>#REF!</v>
      </c>
      <c r="I114" s="135" t="e">
        <f>VLOOKUP(Table1345[[#This Row],[R No.]],'sheet 1'!#REF!,19,FALSE)</f>
        <v>#REF!</v>
      </c>
      <c r="J114" s="135" t="e">
        <f>VLOOKUP(Table1345[[#This Row],[R No.]],'sheet 1'!#REF!,23,FALSE)</f>
        <v>#REF!</v>
      </c>
      <c r="K114" s="136" t="e">
        <f>VLOOKUP(Table1345[[#This Row],[R No.]],'sheet 1'!#REF!,38,FALSE)</f>
        <v>#REF!</v>
      </c>
      <c r="L114" s="143" t="e">
        <f t="shared" si="14"/>
        <v>#REF!</v>
      </c>
      <c r="M114" s="141" t="e">
        <f t="shared" si="15"/>
        <v>#REF!</v>
      </c>
      <c r="N114" s="182" t="e">
        <f>VLOOKUP(Table1345[[#This Row],[R No.]],'sheet 1'!#REF!,41,FALSE)</f>
        <v>#REF!</v>
      </c>
      <c r="O114" s="138" t="e">
        <f t="shared" si="16"/>
        <v>#REF!</v>
      </c>
      <c r="Q114" s="123" t="e">
        <f t="shared" si="23"/>
        <v>#REF!</v>
      </c>
      <c r="R114" s="123" t="e">
        <f t="shared" si="24"/>
        <v>#REF!</v>
      </c>
      <c r="S114" s="123" t="e">
        <f t="shared" si="25"/>
        <v>#REF!</v>
      </c>
      <c r="T114" s="123" t="e">
        <f t="shared" si="26"/>
        <v>#REF!</v>
      </c>
      <c r="U114" s="123" t="e">
        <f t="shared" si="27"/>
        <v>#REF!</v>
      </c>
      <c r="V114" s="140" t="e">
        <f t="shared" si="22"/>
        <v>#REF!</v>
      </c>
    </row>
    <row r="115" spans="2:22" ht="18" x14ac:dyDescent="0.2">
      <c r="B115" s="141" t="e">
        <f>#REF!</f>
        <v>#REF!</v>
      </c>
      <c r="C115" s="141" t="e">
        <f>#REF!</f>
        <v>#REF!</v>
      </c>
      <c r="D115" s="142" t="e">
        <f>PROPER(#REF!)</f>
        <v>#REF!</v>
      </c>
      <c r="E115" s="142" t="e">
        <f>PROPER(#REF!)</f>
        <v>#REF!</v>
      </c>
      <c r="F115" s="135" t="e">
        <f>VLOOKUP(Table1345[[#This Row],[R No.]],'sheet 1'!#REF!,7,FALSE)</f>
        <v>#REF!</v>
      </c>
      <c r="G115" s="135" t="e">
        <f>VLOOKUP(Table1345[[#This Row],[R No.]],'sheet 1'!#REF!,11,FALSE)</f>
        <v>#REF!</v>
      </c>
      <c r="H115" s="135" t="e">
        <f>VLOOKUP(Table1345[[#This Row],[R No.]],'sheet 1'!#REF!,15,FALSE)</f>
        <v>#REF!</v>
      </c>
      <c r="I115" s="135" t="e">
        <f>VLOOKUP(Table1345[[#This Row],[R No.]],'sheet 1'!#REF!,19,FALSE)</f>
        <v>#REF!</v>
      </c>
      <c r="J115" s="135" t="e">
        <f>VLOOKUP(Table1345[[#This Row],[R No.]],'sheet 1'!#REF!,23,FALSE)</f>
        <v>#REF!</v>
      </c>
      <c r="K115" s="136" t="e">
        <f>VLOOKUP(Table1345[[#This Row],[R No.]],'sheet 1'!#REF!,38,FALSE)</f>
        <v>#REF!</v>
      </c>
      <c r="L115" s="143" t="e">
        <f t="shared" si="14"/>
        <v>#REF!</v>
      </c>
      <c r="M115" s="141" t="e">
        <f t="shared" si="15"/>
        <v>#REF!</v>
      </c>
      <c r="N115" s="182" t="e">
        <f>VLOOKUP(Table1345[[#This Row],[R No.]],'sheet 1'!#REF!,41,FALSE)</f>
        <v>#REF!</v>
      </c>
      <c r="O115" s="138" t="e">
        <f t="shared" si="16"/>
        <v>#REF!</v>
      </c>
      <c r="Q115" s="123" t="e">
        <f t="shared" si="23"/>
        <v>#REF!</v>
      </c>
      <c r="R115" s="123" t="e">
        <f t="shared" si="24"/>
        <v>#REF!</v>
      </c>
      <c r="S115" s="123" t="e">
        <f t="shared" si="25"/>
        <v>#REF!</v>
      </c>
      <c r="T115" s="123" t="e">
        <f t="shared" si="26"/>
        <v>#REF!</v>
      </c>
      <c r="U115" s="123" t="e">
        <f t="shared" si="27"/>
        <v>#REF!</v>
      </c>
      <c r="V115" s="140" t="e">
        <f t="shared" si="22"/>
        <v>#REF!</v>
      </c>
    </row>
    <row r="116" spans="2:22" ht="18" x14ac:dyDescent="0.2">
      <c r="B116" s="141" t="e">
        <f>#REF!</f>
        <v>#REF!</v>
      </c>
      <c r="C116" s="141" t="e">
        <f>#REF!</f>
        <v>#REF!</v>
      </c>
      <c r="D116" s="142" t="e">
        <f>PROPER(#REF!)</f>
        <v>#REF!</v>
      </c>
      <c r="E116" s="142" t="e">
        <f>PROPER(#REF!)</f>
        <v>#REF!</v>
      </c>
      <c r="F116" s="135" t="e">
        <f>VLOOKUP(Table1345[[#This Row],[R No.]],'sheet 1'!#REF!,7,FALSE)</f>
        <v>#REF!</v>
      </c>
      <c r="G116" s="135" t="e">
        <f>VLOOKUP(Table1345[[#This Row],[R No.]],'sheet 1'!#REF!,11,FALSE)</f>
        <v>#REF!</v>
      </c>
      <c r="H116" s="135" t="e">
        <f>VLOOKUP(Table1345[[#This Row],[R No.]],'sheet 1'!#REF!,15,FALSE)</f>
        <v>#REF!</v>
      </c>
      <c r="I116" s="135" t="e">
        <f>VLOOKUP(Table1345[[#This Row],[R No.]],'sheet 1'!#REF!,19,FALSE)</f>
        <v>#REF!</v>
      </c>
      <c r="J116" s="135" t="e">
        <f>VLOOKUP(Table1345[[#This Row],[R No.]],'sheet 1'!#REF!,23,FALSE)</f>
        <v>#REF!</v>
      </c>
      <c r="K116" s="136" t="e">
        <f>VLOOKUP(Table1345[[#This Row],[R No.]],'sheet 1'!#REF!,38,FALSE)</f>
        <v>#REF!</v>
      </c>
      <c r="L116" s="143" t="e">
        <f t="shared" si="14"/>
        <v>#REF!</v>
      </c>
      <c r="M116" s="141" t="e">
        <f t="shared" si="15"/>
        <v>#REF!</v>
      </c>
      <c r="N116" s="182" t="e">
        <f>VLOOKUP(Table1345[[#This Row],[R No.]],'sheet 1'!#REF!,41,FALSE)</f>
        <v>#REF!</v>
      </c>
      <c r="O116" s="138" t="e">
        <f t="shared" si="16"/>
        <v>#REF!</v>
      </c>
      <c r="Q116" s="123" t="e">
        <f t="shared" si="23"/>
        <v>#REF!</v>
      </c>
      <c r="R116" s="123" t="e">
        <f t="shared" si="24"/>
        <v>#REF!</v>
      </c>
      <c r="S116" s="123" t="e">
        <f t="shared" si="25"/>
        <v>#REF!</v>
      </c>
      <c r="T116" s="123" t="e">
        <f t="shared" si="26"/>
        <v>#REF!</v>
      </c>
      <c r="U116" s="123" t="e">
        <f t="shared" si="27"/>
        <v>#REF!</v>
      </c>
      <c r="V116" s="140" t="e">
        <f t="shared" si="22"/>
        <v>#REF!</v>
      </c>
    </row>
    <row r="117" spans="2:22" ht="18" x14ac:dyDescent="0.2">
      <c r="B117" s="141" t="e">
        <f>#REF!</f>
        <v>#REF!</v>
      </c>
      <c r="C117" s="141" t="e">
        <f>#REF!</f>
        <v>#REF!</v>
      </c>
      <c r="D117" s="142" t="e">
        <f>PROPER(#REF!)</f>
        <v>#REF!</v>
      </c>
      <c r="E117" s="142" t="e">
        <f>PROPER(#REF!)</f>
        <v>#REF!</v>
      </c>
      <c r="F117" s="135" t="e">
        <f>VLOOKUP(Table1345[[#This Row],[R No.]],'sheet 1'!#REF!,7,FALSE)</f>
        <v>#REF!</v>
      </c>
      <c r="G117" s="135" t="e">
        <f>VLOOKUP(Table1345[[#This Row],[R No.]],'sheet 1'!#REF!,11,FALSE)</f>
        <v>#REF!</v>
      </c>
      <c r="H117" s="135" t="e">
        <f>VLOOKUP(Table1345[[#This Row],[R No.]],'sheet 1'!#REF!,15,FALSE)</f>
        <v>#REF!</v>
      </c>
      <c r="I117" s="135" t="e">
        <f>VLOOKUP(Table1345[[#This Row],[R No.]],'sheet 1'!#REF!,19,FALSE)</f>
        <v>#REF!</v>
      </c>
      <c r="J117" s="135" t="e">
        <f>VLOOKUP(Table1345[[#This Row],[R No.]],'sheet 1'!#REF!,23,FALSE)</f>
        <v>#REF!</v>
      </c>
      <c r="K117" s="136" t="e">
        <f>VLOOKUP(Table1345[[#This Row],[R No.]],'sheet 1'!#REF!,38,FALSE)</f>
        <v>#REF!</v>
      </c>
      <c r="L117" s="143" t="e">
        <f t="shared" si="14"/>
        <v>#REF!</v>
      </c>
      <c r="M117" s="141" t="e">
        <f t="shared" si="15"/>
        <v>#REF!</v>
      </c>
      <c r="N117" s="182" t="e">
        <f>VLOOKUP(Table1345[[#This Row],[R No.]],'sheet 1'!#REF!,41,FALSE)</f>
        <v>#REF!</v>
      </c>
      <c r="O117" s="138" t="e">
        <f t="shared" si="16"/>
        <v>#REF!</v>
      </c>
      <c r="Q117" s="123" t="e">
        <f t="shared" si="23"/>
        <v>#REF!</v>
      </c>
      <c r="R117" s="123" t="e">
        <f t="shared" si="24"/>
        <v>#REF!</v>
      </c>
      <c r="S117" s="123" t="e">
        <f t="shared" si="25"/>
        <v>#REF!</v>
      </c>
      <c r="T117" s="123" t="e">
        <f t="shared" si="26"/>
        <v>#REF!</v>
      </c>
      <c r="U117" s="123" t="e">
        <f t="shared" si="27"/>
        <v>#REF!</v>
      </c>
      <c r="V117" s="140" t="e">
        <f t="shared" si="22"/>
        <v>#REF!</v>
      </c>
    </row>
    <row r="118" spans="2:22" ht="18" x14ac:dyDescent="0.2">
      <c r="B118" s="141" t="e">
        <f>#REF!</f>
        <v>#REF!</v>
      </c>
      <c r="C118" s="141" t="e">
        <f>#REF!</f>
        <v>#REF!</v>
      </c>
      <c r="D118" s="142" t="e">
        <f>PROPER(#REF!)</f>
        <v>#REF!</v>
      </c>
      <c r="E118" s="142" t="e">
        <f>PROPER(#REF!)</f>
        <v>#REF!</v>
      </c>
      <c r="F118" s="135" t="e">
        <f>VLOOKUP(Table1345[[#This Row],[R No.]],'sheet 1'!#REF!,7,FALSE)</f>
        <v>#REF!</v>
      </c>
      <c r="G118" s="135" t="e">
        <f>VLOOKUP(Table1345[[#This Row],[R No.]],'sheet 1'!#REF!,11,FALSE)</f>
        <v>#REF!</v>
      </c>
      <c r="H118" s="135" t="e">
        <f>VLOOKUP(Table1345[[#This Row],[R No.]],'sheet 1'!#REF!,15,FALSE)</f>
        <v>#REF!</v>
      </c>
      <c r="I118" s="135" t="e">
        <f>VLOOKUP(Table1345[[#This Row],[R No.]],'sheet 1'!#REF!,19,FALSE)</f>
        <v>#REF!</v>
      </c>
      <c r="J118" s="135" t="e">
        <f>VLOOKUP(Table1345[[#This Row],[R No.]],'sheet 1'!#REF!,23,FALSE)</f>
        <v>#REF!</v>
      </c>
      <c r="K118" s="136" t="e">
        <f>VLOOKUP(Table1345[[#This Row],[R No.]],'sheet 1'!#REF!,38,FALSE)</f>
        <v>#REF!</v>
      </c>
      <c r="L118" s="143" t="e">
        <f t="shared" ref="L118:L160" si="28">IF(K118&gt;3.99,"A",IF(K118&gt;3.49,"B+",IF(K118&gt;2.99,"B",IF(K118&gt;2.49,"C+",IF(K118&gt;1.99,"C",IF(K118&gt;1.49,"D+",IF(K118&gt;0.99,"D","F")))))))</f>
        <v>#REF!</v>
      </c>
      <c r="M118" s="141" t="e">
        <f t="shared" si="15"/>
        <v>#REF!</v>
      </c>
      <c r="N118" s="182" t="e">
        <f>VLOOKUP(Table1345[[#This Row],[R No.]],'sheet 1'!#REF!,41,FALSE)</f>
        <v>#REF!</v>
      </c>
      <c r="O118" s="138" t="e">
        <f t="shared" si="16"/>
        <v>#REF!</v>
      </c>
      <c r="Q118" s="123" t="e">
        <f t="shared" si="23"/>
        <v>#REF!</v>
      </c>
      <c r="R118" s="123" t="e">
        <f t="shared" si="24"/>
        <v>#REF!</v>
      </c>
      <c r="S118" s="123" t="e">
        <f t="shared" si="25"/>
        <v>#REF!</v>
      </c>
      <c r="T118" s="123" t="e">
        <f t="shared" si="26"/>
        <v>#REF!</v>
      </c>
      <c r="U118" s="123" t="e">
        <f t="shared" si="27"/>
        <v>#REF!</v>
      </c>
      <c r="V118" s="140" t="e">
        <f t="shared" si="22"/>
        <v>#REF!</v>
      </c>
    </row>
    <row r="119" spans="2:22" ht="18" x14ac:dyDescent="0.2">
      <c r="B119" s="141" t="e">
        <f>#REF!</f>
        <v>#REF!</v>
      </c>
      <c r="C119" s="141" t="e">
        <f>#REF!</f>
        <v>#REF!</v>
      </c>
      <c r="D119" s="142" t="e">
        <f>PROPER(#REF!)</f>
        <v>#REF!</v>
      </c>
      <c r="E119" s="142" t="e">
        <f>PROPER(#REF!)</f>
        <v>#REF!</v>
      </c>
      <c r="F119" s="135" t="e">
        <f>VLOOKUP(Table1345[[#This Row],[R No.]],'sheet 1'!#REF!,7,FALSE)</f>
        <v>#REF!</v>
      </c>
      <c r="G119" s="135" t="e">
        <f>VLOOKUP(Table1345[[#This Row],[R No.]],'sheet 1'!#REF!,11,FALSE)</f>
        <v>#REF!</v>
      </c>
      <c r="H119" s="135" t="e">
        <f>VLOOKUP(Table1345[[#This Row],[R No.]],'sheet 1'!#REF!,15,FALSE)</f>
        <v>#REF!</v>
      </c>
      <c r="I119" s="135" t="e">
        <f>VLOOKUP(Table1345[[#This Row],[R No.]],'sheet 1'!#REF!,19,FALSE)</f>
        <v>#REF!</v>
      </c>
      <c r="J119" s="135" t="e">
        <f>VLOOKUP(Table1345[[#This Row],[R No.]],'sheet 1'!#REF!,23,FALSE)</f>
        <v>#REF!</v>
      </c>
      <c r="K119" s="136" t="e">
        <f>VLOOKUP(Table1345[[#This Row],[R No.]],'sheet 1'!#REF!,38,FALSE)</f>
        <v>#REF!</v>
      </c>
      <c r="L119" s="143" t="e">
        <f t="shared" si="28"/>
        <v>#REF!</v>
      </c>
      <c r="M119" s="141" t="e">
        <f t="shared" si="15"/>
        <v>#REF!</v>
      </c>
      <c r="N119" s="182" t="e">
        <f>VLOOKUP(Table1345[[#This Row],[R No.]],'sheet 1'!#REF!,41,FALSE)</f>
        <v>#REF!</v>
      </c>
      <c r="O119" s="138" t="e">
        <f t="shared" si="16"/>
        <v>#REF!</v>
      </c>
      <c r="Q119" s="123" t="e">
        <f t="shared" si="23"/>
        <v>#REF!</v>
      </c>
      <c r="R119" s="123" t="e">
        <f t="shared" si="24"/>
        <v>#REF!</v>
      </c>
      <c r="S119" s="123" t="e">
        <f t="shared" si="25"/>
        <v>#REF!</v>
      </c>
      <c r="T119" s="123" t="e">
        <f t="shared" si="26"/>
        <v>#REF!</v>
      </c>
      <c r="U119" s="123" t="e">
        <f t="shared" si="27"/>
        <v>#REF!</v>
      </c>
      <c r="V119" s="140" t="e">
        <f t="shared" si="22"/>
        <v>#REF!</v>
      </c>
    </row>
    <row r="120" spans="2:22" ht="18" x14ac:dyDescent="0.2">
      <c r="B120" s="141" t="e">
        <f>#REF!</f>
        <v>#REF!</v>
      </c>
      <c r="C120" s="141" t="e">
        <f>#REF!</f>
        <v>#REF!</v>
      </c>
      <c r="D120" s="142" t="e">
        <f>PROPER(#REF!)</f>
        <v>#REF!</v>
      </c>
      <c r="E120" s="142" t="e">
        <f>PROPER(#REF!)</f>
        <v>#REF!</v>
      </c>
      <c r="F120" s="135" t="e">
        <f>VLOOKUP(Table1345[[#This Row],[R No.]],'sheet 1'!#REF!,7,FALSE)</f>
        <v>#REF!</v>
      </c>
      <c r="G120" s="135" t="e">
        <f>VLOOKUP(Table1345[[#This Row],[R No.]],'sheet 1'!#REF!,11,FALSE)</f>
        <v>#REF!</v>
      </c>
      <c r="H120" s="135" t="e">
        <f>VLOOKUP(Table1345[[#This Row],[R No.]],'sheet 1'!#REF!,15,FALSE)</f>
        <v>#REF!</v>
      </c>
      <c r="I120" s="135" t="e">
        <f>VLOOKUP(Table1345[[#This Row],[R No.]],'sheet 1'!#REF!,19,FALSE)</f>
        <v>#REF!</v>
      </c>
      <c r="J120" s="135" t="e">
        <f>VLOOKUP(Table1345[[#This Row],[R No.]],'sheet 1'!#REF!,23,FALSE)</f>
        <v>#REF!</v>
      </c>
      <c r="K120" s="136" t="e">
        <f>VLOOKUP(Table1345[[#This Row],[R No.]],'sheet 1'!#REF!,38,FALSE)</f>
        <v>#REF!</v>
      </c>
      <c r="L120" s="143" t="e">
        <f t="shared" si="28"/>
        <v>#REF!</v>
      </c>
      <c r="M120" s="141" t="e">
        <f t="shared" si="15"/>
        <v>#REF!</v>
      </c>
      <c r="N120" s="182" t="e">
        <f>VLOOKUP(Table1345[[#This Row],[R No.]],'sheet 1'!#REF!,41,FALSE)</f>
        <v>#REF!</v>
      </c>
      <c r="O120" s="138" t="e">
        <f t="shared" si="16"/>
        <v>#REF!</v>
      </c>
      <c r="Q120" s="123" t="e">
        <f t="shared" si="23"/>
        <v>#REF!</v>
      </c>
      <c r="R120" s="123" t="e">
        <f t="shared" si="24"/>
        <v>#REF!</v>
      </c>
      <c r="S120" s="123" t="e">
        <f t="shared" si="25"/>
        <v>#REF!</v>
      </c>
      <c r="T120" s="123" t="e">
        <f t="shared" si="26"/>
        <v>#REF!</v>
      </c>
      <c r="U120" s="123" t="e">
        <f t="shared" si="27"/>
        <v>#REF!</v>
      </c>
      <c r="V120" s="140" t="e">
        <f t="shared" si="22"/>
        <v>#REF!</v>
      </c>
    </row>
    <row r="121" spans="2:22" ht="18" x14ac:dyDescent="0.2">
      <c r="B121" s="141" t="e">
        <f>#REF!</f>
        <v>#REF!</v>
      </c>
      <c r="C121" s="141" t="e">
        <f>#REF!</f>
        <v>#REF!</v>
      </c>
      <c r="D121" s="142" t="e">
        <f>PROPER(#REF!)</f>
        <v>#REF!</v>
      </c>
      <c r="E121" s="142" t="e">
        <f>PROPER(#REF!)</f>
        <v>#REF!</v>
      </c>
      <c r="F121" s="135" t="e">
        <f>VLOOKUP(Table1345[[#This Row],[R No.]],'sheet 1'!#REF!,7,FALSE)</f>
        <v>#REF!</v>
      </c>
      <c r="G121" s="135" t="e">
        <f>VLOOKUP(Table1345[[#This Row],[R No.]],'sheet 1'!#REF!,11,FALSE)</f>
        <v>#REF!</v>
      </c>
      <c r="H121" s="135" t="e">
        <f>VLOOKUP(Table1345[[#This Row],[R No.]],'sheet 1'!#REF!,15,FALSE)</f>
        <v>#REF!</v>
      </c>
      <c r="I121" s="135" t="e">
        <f>VLOOKUP(Table1345[[#This Row],[R No.]],'sheet 1'!#REF!,19,FALSE)</f>
        <v>#REF!</v>
      </c>
      <c r="J121" s="135" t="e">
        <f>VLOOKUP(Table1345[[#This Row],[R No.]],'sheet 1'!#REF!,23,FALSE)</f>
        <v>#REF!</v>
      </c>
      <c r="K121" s="136" t="e">
        <f>VLOOKUP(Table1345[[#This Row],[R No.]],'sheet 1'!#REF!,38,FALSE)</f>
        <v>#REF!</v>
      </c>
      <c r="L121" s="143" t="e">
        <f t="shared" si="28"/>
        <v>#REF!</v>
      </c>
      <c r="M121" s="141" t="e">
        <f t="shared" si="15"/>
        <v>#REF!</v>
      </c>
      <c r="N121" s="182" t="e">
        <f>VLOOKUP(Table1345[[#This Row],[R No.]],'sheet 1'!#REF!,41,FALSE)</f>
        <v>#REF!</v>
      </c>
      <c r="O121" s="138" t="e">
        <f t="shared" si="16"/>
        <v>#REF!</v>
      </c>
      <c r="Q121" s="123" t="e">
        <f t="shared" si="23"/>
        <v>#REF!</v>
      </c>
      <c r="R121" s="123" t="e">
        <f t="shared" si="24"/>
        <v>#REF!</v>
      </c>
      <c r="S121" s="123" t="e">
        <f t="shared" si="25"/>
        <v>#REF!</v>
      </c>
      <c r="T121" s="123" t="e">
        <f t="shared" si="26"/>
        <v>#REF!</v>
      </c>
      <c r="U121" s="123" t="e">
        <f t="shared" si="27"/>
        <v>#REF!</v>
      </c>
      <c r="V121" s="140" t="e">
        <f t="shared" si="22"/>
        <v>#REF!</v>
      </c>
    </row>
    <row r="122" spans="2:22" ht="18" x14ac:dyDescent="0.2">
      <c r="B122" s="141" t="e">
        <f>#REF!</f>
        <v>#REF!</v>
      </c>
      <c r="C122" s="141" t="e">
        <f>#REF!</f>
        <v>#REF!</v>
      </c>
      <c r="D122" s="142" t="e">
        <f>PROPER(#REF!)</f>
        <v>#REF!</v>
      </c>
      <c r="E122" s="142" t="e">
        <f>PROPER(#REF!)</f>
        <v>#REF!</v>
      </c>
      <c r="F122" s="135" t="e">
        <f>VLOOKUP(Table1345[[#This Row],[R No.]],'sheet 1'!#REF!,7,FALSE)</f>
        <v>#REF!</v>
      </c>
      <c r="G122" s="135" t="e">
        <f>VLOOKUP(Table1345[[#This Row],[R No.]],'sheet 1'!#REF!,11,FALSE)</f>
        <v>#REF!</v>
      </c>
      <c r="H122" s="135" t="e">
        <f>VLOOKUP(Table1345[[#This Row],[R No.]],'sheet 1'!#REF!,15,FALSE)</f>
        <v>#REF!</v>
      </c>
      <c r="I122" s="135" t="e">
        <f>VLOOKUP(Table1345[[#This Row],[R No.]],'sheet 1'!#REF!,19,FALSE)</f>
        <v>#REF!</v>
      </c>
      <c r="J122" s="135" t="e">
        <f>VLOOKUP(Table1345[[#This Row],[R No.]],'sheet 1'!#REF!,23,FALSE)</f>
        <v>#REF!</v>
      </c>
      <c r="K122" s="136" t="e">
        <f>VLOOKUP(Table1345[[#This Row],[R No.]],'sheet 1'!#REF!,38,FALSE)</f>
        <v>#REF!</v>
      </c>
      <c r="L122" s="143" t="e">
        <f t="shared" si="28"/>
        <v>#REF!</v>
      </c>
      <c r="M122" s="141" t="e">
        <f t="shared" si="15"/>
        <v>#REF!</v>
      </c>
      <c r="N122" s="182" t="e">
        <f>VLOOKUP(Table1345[[#This Row],[R No.]],'sheet 1'!#REF!,41,FALSE)</f>
        <v>#REF!</v>
      </c>
      <c r="O122" s="138" t="e">
        <f t="shared" si="16"/>
        <v>#REF!</v>
      </c>
      <c r="Q122" s="123" t="e">
        <f t="shared" si="23"/>
        <v>#REF!</v>
      </c>
      <c r="R122" s="123" t="e">
        <f t="shared" si="24"/>
        <v>#REF!</v>
      </c>
      <c r="S122" s="123" t="e">
        <f t="shared" si="25"/>
        <v>#REF!</v>
      </c>
      <c r="T122" s="123" t="e">
        <f t="shared" si="26"/>
        <v>#REF!</v>
      </c>
      <c r="U122" s="123" t="e">
        <f t="shared" si="27"/>
        <v>#REF!</v>
      </c>
      <c r="V122" s="140" t="e">
        <f t="shared" si="22"/>
        <v>#REF!</v>
      </c>
    </row>
    <row r="123" spans="2:22" ht="18" x14ac:dyDescent="0.2">
      <c r="B123" s="141" t="e">
        <f>#REF!</f>
        <v>#REF!</v>
      </c>
      <c r="C123" s="141" t="e">
        <f>#REF!</f>
        <v>#REF!</v>
      </c>
      <c r="D123" s="142" t="e">
        <f>PROPER(#REF!)</f>
        <v>#REF!</v>
      </c>
      <c r="E123" s="142" t="e">
        <f>PROPER(#REF!)</f>
        <v>#REF!</v>
      </c>
      <c r="F123" s="135" t="e">
        <f>VLOOKUP(Table1345[[#This Row],[R No.]],'sheet 1'!#REF!,7,FALSE)</f>
        <v>#REF!</v>
      </c>
      <c r="G123" s="135" t="e">
        <f>VLOOKUP(Table1345[[#This Row],[R No.]],'sheet 1'!#REF!,11,FALSE)</f>
        <v>#REF!</v>
      </c>
      <c r="H123" s="135" t="e">
        <f>VLOOKUP(Table1345[[#This Row],[R No.]],'sheet 1'!#REF!,15,FALSE)</f>
        <v>#REF!</v>
      </c>
      <c r="I123" s="135" t="e">
        <f>VLOOKUP(Table1345[[#This Row],[R No.]],'sheet 1'!#REF!,19,FALSE)</f>
        <v>#REF!</v>
      </c>
      <c r="J123" s="135" t="e">
        <f>VLOOKUP(Table1345[[#This Row],[R No.]],'sheet 1'!#REF!,23,FALSE)</f>
        <v>#REF!</v>
      </c>
      <c r="K123" s="136" t="e">
        <f>VLOOKUP(Table1345[[#This Row],[R No.]],'sheet 1'!#REF!,38,FALSE)</f>
        <v>#REF!</v>
      </c>
      <c r="L123" s="143" t="e">
        <f t="shared" si="28"/>
        <v>#REF!</v>
      </c>
      <c r="M123" s="141" t="e">
        <f t="shared" si="15"/>
        <v>#REF!</v>
      </c>
      <c r="N123" s="182" t="e">
        <f>VLOOKUP(Table1345[[#This Row],[R No.]],'sheet 1'!#REF!,41,FALSE)</f>
        <v>#REF!</v>
      </c>
      <c r="O123" s="138" t="e">
        <f t="shared" si="16"/>
        <v>#REF!</v>
      </c>
      <c r="Q123" s="123" t="e">
        <f t="shared" si="23"/>
        <v>#REF!</v>
      </c>
      <c r="R123" s="123" t="e">
        <f t="shared" si="24"/>
        <v>#REF!</v>
      </c>
      <c r="S123" s="123" t="e">
        <f t="shared" si="25"/>
        <v>#REF!</v>
      </c>
      <c r="T123" s="123" t="e">
        <f t="shared" si="26"/>
        <v>#REF!</v>
      </c>
      <c r="U123" s="123" t="e">
        <f t="shared" si="27"/>
        <v>#REF!</v>
      </c>
      <c r="V123" s="140" t="e">
        <f t="shared" si="22"/>
        <v>#REF!</v>
      </c>
    </row>
    <row r="124" spans="2:22" ht="18" x14ac:dyDescent="0.2">
      <c r="B124" s="141" t="e">
        <f>#REF!</f>
        <v>#REF!</v>
      </c>
      <c r="C124" s="141" t="e">
        <f>#REF!</f>
        <v>#REF!</v>
      </c>
      <c r="D124" s="142" t="e">
        <f>PROPER(#REF!)</f>
        <v>#REF!</v>
      </c>
      <c r="E124" s="142" t="e">
        <f>PROPER(#REF!)</f>
        <v>#REF!</v>
      </c>
      <c r="F124" s="135" t="e">
        <f>VLOOKUP(Table1345[[#This Row],[R No.]],'sheet 1'!#REF!,7,FALSE)</f>
        <v>#REF!</v>
      </c>
      <c r="G124" s="135" t="e">
        <f>VLOOKUP(Table1345[[#This Row],[R No.]],'sheet 1'!#REF!,11,FALSE)</f>
        <v>#REF!</v>
      </c>
      <c r="H124" s="135" t="e">
        <f>VLOOKUP(Table1345[[#This Row],[R No.]],'sheet 1'!#REF!,15,FALSE)</f>
        <v>#REF!</v>
      </c>
      <c r="I124" s="135" t="e">
        <f>VLOOKUP(Table1345[[#This Row],[R No.]],'sheet 1'!#REF!,19,FALSE)</f>
        <v>#REF!</v>
      </c>
      <c r="J124" s="135" t="e">
        <f>VLOOKUP(Table1345[[#This Row],[R No.]],'sheet 1'!#REF!,23,FALSE)</f>
        <v>#REF!</v>
      </c>
      <c r="K124" s="136" t="e">
        <f>VLOOKUP(Table1345[[#This Row],[R No.]],'sheet 1'!#REF!,38,FALSE)</f>
        <v>#REF!</v>
      </c>
      <c r="L124" s="143" t="e">
        <f t="shared" si="28"/>
        <v>#REF!</v>
      </c>
      <c r="M124" s="141" t="e">
        <f t="shared" si="15"/>
        <v>#REF!</v>
      </c>
      <c r="N124" s="182" t="e">
        <f>VLOOKUP(Table1345[[#This Row],[R No.]],'sheet 1'!#REF!,41,FALSE)</f>
        <v>#REF!</v>
      </c>
      <c r="O124" s="138" t="e">
        <f t="shared" si="16"/>
        <v>#REF!</v>
      </c>
      <c r="Q124" s="123" t="e">
        <f t="shared" si="23"/>
        <v>#REF!</v>
      </c>
      <c r="R124" s="123" t="e">
        <f t="shared" si="24"/>
        <v>#REF!</v>
      </c>
      <c r="S124" s="123" t="e">
        <f t="shared" si="25"/>
        <v>#REF!</v>
      </c>
      <c r="T124" s="123" t="e">
        <f t="shared" si="26"/>
        <v>#REF!</v>
      </c>
      <c r="U124" s="123" t="e">
        <f t="shared" si="27"/>
        <v>#REF!</v>
      </c>
      <c r="V124" s="140" t="e">
        <f t="shared" si="22"/>
        <v>#REF!</v>
      </c>
    </row>
    <row r="125" spans="2:22" ht="18" x14ac:dyDescent="0.2">
      <c r="B125" s="141" t="e">
        <f>#REF!</f>
        <v>#REF!</v>
      </c>
      <c r="C125" s="141" t="e">
        <f>#REF!</f>
        <v>#REF!</v>
      </c>
      <c r="D125" s="142" t="e">
        <f>PROPER(#REF!)</f>
        <v>#REF!</v>
      </c>
      <c r="E125" s="142" t="e">
        <f>PROPER(#REF!)</f>
        <v>#REF!</v>
      </c>
      <c r="F125" s="135" t="e">
        <f>VLOOKUP(Table1345[[#This Row],[R No.]],'sheet 1'!#REF!,7,FALSE)</f>
        <v>#REF!</v>
      </c>
      <c r="G125" s="135" t="e">
        <f>VLOOKUP(Table1345[[#This Row],[R No.]],'sheet 1'!#REF!,11,FALSE)</f>
        <v>#REF!</v>
      </c>
      <c r="H125" s="135" t="e">
        <f>VLOOKUP(Table1345[[#This Row],[R No.]],'sheet 1'!#REF!,15,FALSE)</f>
        <v>#REF!</v>
      </c>
      <c r="I125" s="135" t="e">
        <f>VLOOKUP(Table1345[[#This Row],[R No.]],'sheet 1'!#REF!,19,FALSE)</f>
        <v>#REF!</v>
      </c>
      <c r="J125" s="135" t="e">
        <f>VLOOKUP(Table1345[[#This Row],[R No.]],'sheet 1'!#REF!,23,FALSE)</f>
        <v>#REF!</v>
      </c>
      <c r="K125" s="136" t="e">
        <f>VLOOKUP(Table1345[[#This Row],[R No.]],'sheet 1'!#REF!,38,FALSE)</f>
        <v>#REF!</v>
      </c>
      <c r="L125" s="143" t="e">
        <f t="shared" si="28"/>
        <v>#REF!</v>
      </c>
      <c r="M125" s="141" t="e">
        <f t="shared" si="15"/>
        <v>#REF!</v>
      </c>
      <c r="N125" s="182" t="e">
        <f>VLOOKUP(Table1345[[#This Row],[R No.]],'sheet 1'!#REF!,41,FALSE)</f>
        <v>#REF!</v>
      </c>
      <c r="O125" s="138" t="e">
        <f t="shared" si="16"/>
        <v>#REF!</v>
      </c>
      <c r="Q125" s="123" t="e">
        <f t="shared" si="23"/>
        <v>#REF!</v>
      </c>
      <c r="R125" s="123" t="e">
        <f t="shared" si="24"/>
        <v>#REF!</v>
      </c>
      <c r="S125" s="123" t="e">
        <f t="shared" si="25"/>
        <v>#REF!</v>
      </c>
      <c r="T125" s="123" t="e">
        <f t="shared" si="26"/>
        <v>#REF!</v>
      </c>
      <c r="U125" s="123" t="e">
        <f t="shared" si="27"/>
        <v>#REF!</v>
      </c>
      <c r="V125" s="140" t="e">
        <f t="shared" si="22"/>
        <v>#REF!</v>
      </c>
    </row>
    <row r="126" spans="2:22" ht="18" x14ac:dyDescent="0.2">
      <c r="B126" s="141" t="e">
        <f>#REF!</f>
        <v>#REF!</v>
      </c>
      <c r="C126" s="141" t="e">
        <f>#REF!</f>
        <v>#REF!</v>
      </c>
      <c r="D126" s="142" t="e">
        <f>PROPER(#REF!)</f>
        <v>#REF!</v>
      </c>
      <c r="E126" s="142" t="e">
        <f>PROPER(#REF!)</f>
        <v>#REF!</v>
      </c>
      <c r="F126" s="135" t="e">
        <f>VLOOKUP(Table1345[[#This Row],[R No.]],'sheet 1'!#REF!,7,FALSE)</f>
        <v>#REF!</v>
      </c>
      <c r="G126" s="135" t="e">
        <f>VLOOKUP(Table1345[[#This Row],[R No.]],'sheet 1'!#REF!,11,FALSE)</f>
        <v>#REF!</v>
      </c>
      <c r="H126" s="135" t="e">
        <f>VLOOKUP(Table1345[[#This Row],[R No.]],'sheet 1'!#REF!,15,FALSE)</f>
        <v>#REF!</v>
      </c>
      <c r="I126" s="135" t="e">
        <f>VLOOKUP(Table1345[[#This Row],[R No.]],'sheet 1'!#REF!,19,FALSE)</f>
        <v>#REF!</v>
      </c>
      <c r="J126" s="135" t="e">
        <f>VLOOKUP(Table1345[[#This Row],[R No.]],'sheet 1'!#REF!,23,FALSE)</f>
        <v>#REF!</v>
      </c>
      <c r="K126" s="136" t="e">
        <f>VLOOKUP(Table1345[[#This Row],[R No.]],'sheet 1'!#REF!,38,FALSE)</f>
        <v>#REF!</v>
      </c>
      <c r="L126" s="143" t="e">
        <f t="shared" si="28"/>
        <v>#REF!</v>
      </c>
      <c r="M126" s="141" t="e">
        <f t="shared" si="15"/>
        <v>#REF!</v>
      </c>
      <c r="N126" s="182" t="e">
        <f>VLOOKUP(Table1345[[#This Row],[R No.]],'sheet 1'!#REF!,41,FALSE)</f>
        <v>#REF!</v>
      </c>
      <c r="O126" s="138" t="e">
        <f t="shared" si="16"/>
        <v>#REF!</v>
      </c>
      <c r="Q126" s="123" t="e">
        <f t="shared" si="23"/>
        <v>#REF!</v>
      </c>
      <c r="R126" s="123" t="e">
        <f t="shared" si="24"/>
        <v>#REF!</v>
      </c>
      <c r="S126" s="123" t="e">
        <f t="shared" si="25"/>
        <v>#REF!</v>
      </c>
      <c r="T126" s="123" t="e">
        <f t="shared" si="26"/>
        <v>#REF!</v>
      </c>
      <c r="U126" s="123" t="e">
        <f t="shared" si="27"/>
        <v>#REF!</v>
      </c>
      <c r="V126" s="140" t="e">
        <f t="shared" si="22"/>
        <v>#REF!</v>
      </c>
    </row>
    <row r="127" spans="2:22" ht="18" x14ac:dyDescent="0.2">
      <c r="B127" s="141" t="e">
        <f>#REF!</f>
        <v>#REF!</v>
      </c>
      <c r="C127" s="141" t="e">
        <f>#REF!</f>
        <v>#REF!</v>
      </c>
      <c r="D127" s="142" t="e">
        <f>PROPER(#REF!)</f>
        <v>#REF!</v>
      </c>
      <c r="E127" s="142" t="e">
        <f>PROPER(#REF!)</f>
        <v>#REF!</v>
      </c>
      <c r="F127" s="135" t="e">
        <f>VLOOKUP(Table1345[[#This Row],[R No.]],'sheet 1'!#REF!,7,FALSE)</f>
        <v>#REF!</v>
      </c>
      <c r="G127" s="135" t="e">
        <f>VLOOKUP(Table1345[[#This Row],[R No.]],'sheet 1'!#REF!,11,FALSE)</f>
        <v>#REF!</v>
      </c>
      <c r="H127" s="135" t="e">
        <f>VLOOKUP(Table1345[[#This Row],[R No.]],'sheet 1'!#REF!,15,FALSE)</f>
        <v>#REF!</v>
      </c>
      <c r="I127" s="135" t="e">
        <f>VLOOKUP(Table1345[[#This Row],[R No.]],'sheet 1'!#REF!,19,FALSE)</f>
        <v>#REF!</v>
      </c>
      <c r="J127" s="135" t="e">
        <f>VLOOKUP(Table1345[[#This Row],[R No.]],'sheet 1'!#REF!,23,FALSE)</f>
        <v>#REF!</v>
      </c>
      <c r="K127" s="136" t="e">
        <f>VLOOKUP(Table1345[[#This Row],[R No.]],'sheet 1'!#REF!,38,FALSE)</f>
        <v>#REF!</v>
      </c>
      <c r="L127" s="143" t="e">
        <f t="shared" si="28"/>
        <v>#REF!</v>
      </c>
      <c r="M127" s="141" t="e">
        <f t="shared" si="15"/>
        <v>#REF!</v>
      </c>
      <c r="N127" s="182" t="e">
        <f>VLOOKUP(Table1345[[#This Row],[R No.]],'sheet 1'!#REF!,41,FALSE)</f>
        <v>#REF!</v>
      </c>
      <c r="O127" s="138" t="e">
        <f t="shared" si="16"/>
        <v>#REF!</v>
      </c>
      <c r="Q127" s="123" t="e">
        <f t="shared" si="23"/>
        <v>#REF!</v>
      </c>
      <c r="R127" s="123" t="e">
        <f t="shared" si="24"/>
        <v>#REF!</v>
      </c>
      <c r="S127" s="123" t="e">
        <f t="shared" si="25"/>
        <v>#REF!</v>
      </c>
      <c r="T127" s="123" t="e">
        <f t="shared" si="26"/>
        <v>#REF!</v>
      </c>
      <c r="U127" s="123" t="e">
        <f t="shared" si="27"/>
        <v>#REF!</v>
      </c>
      <c r="V127" s="140" t="e">
        <f t="shared" si="22"/>
        <v>#REF!</v>
      </c>
    </row>
    <row r="128" spans="2:22" ht="18" x14ac:dyDescent="0.2">
      <c r="B128" s="141" t="e">
        <f>#REF!</f>
        <v>#REF!</v>
      </c>
      <c r="C128" s="141" t="e">
        <f>#REF!</f>
        <v>#REF!</v>
      </c>
      <c r="D128" s="142" t="e">
        <f>PROPER(#REF!)</f>
        <v>#REF!</v>
      </c>
      <c r="E128" s="142" t="e">
        <f>PROPER(#REF!)</f>
        <v>#REF!</v>
      </c>
      <c r="F128" s="135" t="e">
        <f>VLOOKUP(Table1345[[#This Row],[R No.]],'sheet 1'!#REF!,7,FALSE)</f>
        <v>#REF!</v>
      </c>
      <c r="G128" s="135" t="e">
        <f>VLOOKUP(Table1345[[#This Row],[R No.]],'sheet 1'!#REF!,11,FALSE)</f>
        <v>#REF!</v>
      </c>
      <c r="H128" s="135" t="e">
        <f>VLOOKUP(Table1345[[#This Row],[R No.]],'sheet 1'!#REF!,15,FALSE)</f>
        <v>#REF!</v>
      </c>
      <c r="I128" s="135" t="e">
        <f>VLOOKUP(Table1345[[#This Row],[R No.]],'sheet 1'!#REF!,19,FALSE)</f>
        <v>#REF!</v>
      </c>
      <c r="J128" s="135" t="e">
        <f>VLOOKUP(Table1345[[#This Row],[R No.]],'sheet 1'!#REF!,23,FALSE)</f>
        <v>#REF!</v>
      </c>
      <c r="K128" s="136" t="e">
        <f>VLOOKUP(Table1345[[#This Row],[R No.]],'sheet 1'!#REF!,38,FALSE)</f>
        <v>#REF!</v>
      </c>
      <c r="L128" s="143" t="e">
        <f t="shared" si="28"/>
        <v>#REF!</v>
      </c>
      <c r="M128" s="141" t="e">
        <f t="shared" si="15"/>
        <v>#REF!</v>
      </c>
      <c r="N128" s="182" t="e">
        <f>VLOOKUP(Table1345[[#This Row],[R No.]],'sheet 1'!#REF!,41,FALSE)</f>
        <v>#REF!</v>
      </c>
      <c r="O128" s="138" t="e">
        <f t="shared" si="16"/>
        <v>#REF!</v>
      </c>
      <c r="Q128" s="123" t="e">
        <f t="shared" si="23"/>
        <v>#REF!</v>
      </c>
      <c r="R128" s="123" t="e">
        <f t="shared" si="24"/>
        <v>#REF!</v>
      </c>
      <c r="S128" s="123" t="e">
        <f t="shared" si="25"/>
        <v>#REF!</v>
      </c>
      <c r="T128" s="123" t="e">
        <f t="shared" si="26"/>
        <v>#REF!</v>
      </c>
      <c r="U128" s="123" t="e">
        <f t="shared" si="27"/>
        <v>#REF!</v>
      </c>
      <c r="V128" s="140" t="e">
        <f t="shared" si="22"/>
        <v>#REF!</v>
      </c>
    </row>
    <row r="129" spans="2:22" ht="18" x14ac:dyDescent="0.2">
      <c r="B129" s="141" t="e">
        <f>#REF!</f>
        <v>#REF!</v>
      </c>
      <c r="C129" s="141" t="e">
        <f>#REF!</f>
        <v>#REF!</v>
      </c>
      <c r="D129" s="142" t="e">
        <f>PROPER(#REF!)</f>
        <v>#REF!</v>
      </c>
      <c r="E129" s="142" t="e">
        <f>PROPER(#REF!)</f>
        <v>#REF!</v>
      </c>
      <c r="F129" s="135" t="e">
        <f>VLOOKUP(Table1345[[#This Row],[R No.]],'sheet 1'!#REF!,7,FALSE)</f>
        <v>#REF!</v>
      </c>
      <c r="G129" s="135" t="e">
        <f>VLOOKUP(Table1345[[#This Row],[R No.]],'sheet 1'!#REF!,11,FALSE)</f>
        <v>#REF!</v>
      </c>
      <c r="H129" s="135" t="e">
        <f>VLOOKUP(Table1345[[#This Row],[R No.]],'sheet 1'!#REF!,15,FALSE)</f>
        <v>#REF!</v>
      </c>
      <c r="I129" s="135" t="e">
        <f>VLOOKUP(Table1345[[#This Row],[R No.]],'sheet 1'!#REF!,19,FALSE)</f>
        <v>#REF!</v>
      </c>
      <c r="J129" s="135" t="e">
        <f>VLOOKUP(Table1345[[#This Row],[R No.]],'sheet 1'!#REF!,23,FALSE)</f>
        <v>#REF!</v>
      </c>
      <c r="K129" s="136" t="e">
        <f>VLOOKUP(Table1345[[#This Row],[R No.]],'sheet 1'!#REF!,38,FALSE)</f>
        <v>#REF!</v>
      </c>
      <c r="L129" s="143" t="e">
        <f t="shared" si="28"/>
        <v>#REF!</v>
      </c>
      <c r="M129" s="141" t="e">
        <f t="shared" si="15"/>
        <v>#REF!</v>
      </c>
      <c r="N129" s="182" t="e">
        <f>VLOOKUP(Table1345[[#This Row],[R No.]],'sheet 1'!#REF!,41,FALSE)</f>
        <v>#REF!</v>
      </c>
      <c r="O129" s="138" t="e">
        <f t="shared" si="16"/>
        <v>#REF!</v>
      </c>
      <c r="Q129" s="123" t="e">
        <f t="shared" si="23"/>
        <v>#REF!</v>
      </c>
      <c r="R129" s="123" t="e">
        <f t="shared" si="24"/>
        <v>#REF!</v>
      </c>
      <c r="S129" s="123" t="e">
        <f t="shared" si="25"/>
        <v>#REF!</v>
      </c>
      <c r="T129" s="123" t="e">
        <f t="shared" si="26"/>
        <v>#REF!</v>
      </c>
      <c r="U129" s="123" t="e">
        <f t="shared" si="27"/>
        <v>#REF!</v>
      </c>
      <c r="V129" s="140" t="e">
        <f t="shared" si="22"/>
        <v>#REF!</v>
      </c>
    </row>
    <row r="130" spans="2:22" ht="18" x14ac:dyDescent="0.2">
      <c r="B130" s="141" t="e">
        <f>#REF!</f>
        <v>#REF!</v>
      </c>
      <c r="C130" s="141" t="e">
        <f>#REF!</f>
        <v>#REF!</v>
      </c>
      <c r="D130" s="142" t="e">
        <f>PROPER(#REF!)</f>
        <v>#REF!</v>
      </c>
      <c r="E130" s="142" t="e">
        <f>PROPER(#REF!)</f>
        <v>#REF!</v>
      </c>
      <c r="F130" s="135" t="e">
        <f>VLOOKUP(Table1345[[#This Row],[R No.]],'sheet 1'!#REF!,7,FALSE)</f>
        <v>#REF!</v>
      </c>
      <c r="G130" s="135" t="e">
        <f>VLOOKUP(Table1345[[#This Row],[R No.]],'sheet 1'!#REF!,11,FALSE)</f>
        <v>#REF!</v>
      </c>
      <c r="H130" s="135" t="e">
        <f>VLOOKUP(Table1345[[#This Row],[R No.]],'sheet 1'!#REF!,15,FALSE)</f>
        <v>#REF!</v>
      </c>
      <c r="I130" s="135" t="e">
        <f>VLOOKUP(Table1345[[#This Row],[R No.]],'sheet 1'!#REF!,19,FALSE)</f>
        <v>#REF!</v>
      </c>
      <c r="J130" s="135" t="e">
        <f>VLOOKUP(Table1345[[#This Row],[R No.]],'sheet 1'!#REF!,23,FALSE)</f>
        <v>#REF!</v>
      </c>
      <c r="K130" s="136" t="e">
        <f>VLOOKUP(Table1345[[#This Row],[R No.]],'sheet 1'!#REF!,38,FALSE)</f>
        <v>#REF!</v>
      </c>
      <c r="L130" s="143" t="e">
        <f t="shared" si="28"/>
        <v>#REF!</v>
      </c>
      <c r="M130" s="141" t="e">
        <f t="shared" si="15"/>
        <v>#REF!</v>
      </c>
      <c r="N130" s="182" t="e">
        <f>VLOOKUP(Table1345[[#This Row],[R No.]],'sheet 1'!#REF!,41,FALSE)</f>
        <v>#REF!</v>
      </c>
      <c r="O130" s="138" t="e">
        <f t="shared" si="16"/>
        <v>#REF!</v>
      </c>
      <c r="Q130" s="123" t="e">
        <f t="shared" si="23"/>
        <v>#REF!</v>
      </c>
      <c r="R130" s="123" t="e">
        <f t="shared" si="24"/>
        <v>#REF!</v>
      </c>
      <c r="S130" s="123" t="e">
        <f t="shared" si="25"/>
        <v>#REF!</v>
      </c>
      <c r="T130" s="123" t="e">
        <f t="shared" si="26"/>
        <v>#REF!</v>
      </c>
      <c r="U130" s="123" t="e">
        <f t="shared" si="27"/>
        <v>#REF!</v>
      </c>
      <c r="V130" s="140" t="e">
        <f t="shared" si="22"/>
        <v>#REF!</v>
      </c>
    </row>
    <row r="131" spans="2:22" ht="18" x14ac:dyDescent="0.2">
      <c r="B131" s="141" t="e">
        <f>#REF!</f>
        <v>#REF!</v>
      </c>
      <c r="C131" s="141" t="e">
        <f>#REF!</f>
        <v>#REF!</v>
      </c>
      <c r="D131" s="142" t="e">
        <f>PROPER(#REF!)</f>
        <v>#REF!</v>
      </c>
      <c r="E131" s="142" t="e">
        <f>PROPER(#REF!)</f>
        <v>#REF!</v>
      </c>
      <c r="F131" s="135" t="e">
        <f>VLOOKUP(Table1345[[#This Row],[R No.]],'sheet 1'!#REF!,7,FALSE)</f>
        <v>#REF!</v>
      </c>
      <c r="G131" s="135" t="e">
        <f>VLOOKUP(Table1345[[#This Row],[R No.]],'sheet 1'!#REF!,11,FALSE)</f>
        <v>#REF!</v>
      </c>
      <c r="H131" s="135" t="e">
        <f>VLOOKUP(Table1345[[#This Row],[R No.]],'sheet 1'!#REF!,15,FALSE)</f>
        <v>#REF!</v>
      </c>
      <c r="I131" s="135" t="e">
        <f>VLOOKUP(Table1345[[#This Row],[R No.]],'sheet 1'!#REF!,19,FALSE)</f>
        <v>#REF!</v>
      </c>
      <c r="J131" s="135" t="e">
        <f>VLOOKUP(Table1345[[#This Row],[R No.]],'sheet 1'!#REF!,23,FALSE)</f>
        <v>#REF!</v>
      </c>
      <c r="K131" s="136" t="e">
        <f>VLOOKUP(Table1345[[#This Row],[R No.]],'sheet 1'!#REF!,38,FALSE)</f>
        <v>#REF!</v>
      </c>
      <c r="L131" s="143" t="e">
        <f t="shared" si="28"/>
        <v>#REF!</v>
      </c>
      <c r="M131" s="141" t="e">
        <f t="shared" si="15"/>
        <v>#REF!</v>
      </c>
      <c r="N131" s="182" t="e">
        <f>VLOOKUP(Table1345[[#This Row],[R No.]],'sheet 1'!#REF!,41,FALSE)</f>
        <v>#REF!</v>
      </c>
      <c r="O131" s="138" t="e">
        <f t="shared" si="16"/>
        <v>#REF!</v>
      </c>
      <c r="Q131" s="123" t="e">
        <f t="shared" si="23"/>
        <v>#REF!</v>
      </c>
      <c r="R131" s="123" t="e">
        <f t="shared" si="24"/>
        <v>#REF!</v>
      </c>
      <c r="S131" s="123" t="e">
        <f t="shared" si="25"/>
        <v>#REF!</v>
      </c>
      <c r="T131" s="123" t="e">
        <f t="shared" si="26"/>
        <v>#REF!</v>
      </c>
      <c r="U131" s="123" t="e">
        <f t="shared" si="27"/>
        <v>#REF!</v>
      </c>
      <c r="V131" s="140" t="e">
        <f t="shared" si="22"/>
        <v>#REF!</v>
      </c>
    </row>
    <row r="132" spans="2:22" ht="18" x14ac:dyDescent="0.2">
      <c r="B132" s="141" t="e">
        <f>#REF!</f>
        <v>#REF!</v>
      </c>
      <c r="C132" s="141" t="e">
        <f>#REF!</f>
        <v>#REF!</v>
      </c>
      <c r="D132" s="142" t="e">
        <f>PROPER(#REF!)</f>
        <v>#REF!</v>
      </c>
      <c r="E132" s="142" t="e">
        <f>PROPER(#REF!)</f>
        <v>#REF!</v>
      </c>
      <c r="F132" s="135" t="e">
        <f>VLOOKUP(Table1345[[#This Row],[R No.]],'sheet 1'!#REF!,7,FALSE)</f>
        <v>#REF!</v>
      </c>
      <c r="G132" s="135" t="e">
        <f>VLOOKUP(Table1345[[#This Row],[R No.]],'sheet 1'!#REF!,11,FALSE)</f>
        <v>#REF!</v>
      </c>
      <c r="H132" s="135" t="e">
        <f>VLOOKUP(Table1345[[#This Row],[R No.]],'sheet 1'!#REF!,15,FALSE)</f>
        <v>#REF!</v>
      </c>
      <c r="I132" s="135" t="e">
        <f>VLOOKUP(Table1345[[#This Row],[R No.]],'sheet 1'!#REF!,19,FALSE)</f>
        <v>#REF!</v>
      </c>
      <c r="J132" s="135" t="e">
        <f>VLOOKUP(Table1345[[#This Row],[R No.]],'sheet 1'!#REF!,23,FALSE)</f>
        <v>#REF!</v>
      </c>
      <c r="K132" s="136" t="e">
        <f>VLOOKUP(Table1345[[#This Row],[R No.]],'sheet 1'!#REF!,38,FALSE)</f>
        <v>#REF!</v>
      </c>
      <c r="L132" s="143" t="e">
        <f t="shared" si="28"/>
        <v>#REF!</v>
      </c>
      <c r="M132" s="141" t="e">
        <f t="shared" si="15"/>
        <v>#REF!</v>
      </c>
      <c r="N132" s="182" t="e">
        <f>VLOOKUP(Table1345[[#This Row],[R No.]],'sheet 1'!#REF!,41,FALSE)</f>
        <v>#REF!</v>
      </c>
      <c r="O132" s="138" t="e">
        <f t="shared" si="16"/>
        <v>#REF!</v>
      </c>
      <c r="Q132" s="123" t="e">
        <f t="shared" si="23"/>
        <v>#REF!</v>
      </c>
      <c r="R132" s="123" t="e">
        <f t="shared" si="24"/>
        <v>#REF!</v>
      </c>
      <c r="S132" s="123" t="e">
        <f t="shared" si="25"/>
        <v>#REF!</v>
      </c>
      <c r="T132" s="123" t="e">
        <f t="shared" si="26"/>
        <v>#REF!</v>
      </c>
      <c r="U132" s="123" t="e">
        <f t="shared" si="27"/>
        <v>#REF!</v>
      </c>
      <c r="V132" s="140" t="e">
        <f t="shared" si="22"/>
        <v>#REF!</v>
      </c>
    </row>
    <row r="133" spans="2:22" ht="18" x14ac:dyDescent="0.2">
      <c r="B133" s="141" t="e">
        <f>#REF!</f>
        <v>#REF!</v>
      </c>
      <c r="C133" s="141" t="e">
        <f>#REF!</f>
        <v>#REF!</v>
      </c>
      <c r="D133" s="142" t="e">
        <f>PROPER(#REF!)</f>
        <v>#REF!</v>
      </c>
      <c r="E133" s="142" t="e">
        <f>PROPER(#REF!)</f>
        <v>#REF!</v>
      </c>
      <c r="F133" s="135" t="e">
        <f>VLOOKUP(Table1345[[#This Row],[R No.]],'sheet 1'!#REF!,7,FALSE)</f>
        <v>#REF!</v>
      </c>
      <c r="G133" s="135" t="e">
        <f>VLOOKUP(Table1345[[#This Row],[R No.]],'sheet 1'!#REF!,11,FALSE)</f>
        <v>#REF!</v>
      </c>
      <c r="H133" s="135" t="e">
        <f>VLOOKUP(Table1345[[#This Row],[R No.]],'sheet 1'!#REF!,15,FALSE)</f>
        <v>#REF!</v>
      </c>
      <c r="I133" s="135" t="e">
        <f>VLOOKUP(Table1345[[#This Row],[R No.]],'sheet 1'!#REF!,19,FALSE)</f>
        <v>#REF!</v>
      </c>
      <c r="J133" s="135" t="e">
        <f>VLOOKUP(Table1345[[#This Row],[R No.]],'sheet 1'!#REF!,23,FALSE)</f>
        <v>#REF!</v>
      </c>
      <c r="K133" s="136" t="e">
        <f>VLOOKUP(Table1345[[#This Row],[R No.]],'sheet 1'!#REF!,38,FALSE)</f>
        <v>#REF!</v>
      </c>
      <c r="L133" s="143" t="e">
        <f t="shared" si="28"/>
        <v>#REF!</v>
      </c>
      <c r="M133" s="141" t="e">
        <f t="shared" si="15"/>
        <v>#REF!</v>
      </c>
      <c r="N133" s="182" t="e">
        <f>VLOOKUP(Table1345[[#This Row],[R No.]],'sheet 1'!#REF!,41,FALSE)</f>
        <v>#REF!</v>
      </c>
      <c r="O133" s="138" t="e">
        <f t="shared" si="16"/>
        <v>#REF!</v>
      </c>
      <c r="Q133" s="123" t="e">
        <f t="shared" si="23"/>
        <v>#REF!</v>
      </c>
      <c r="R133" s="123" t="e">
        <f t="shared" si="24"/>
        <v>#REF!</v>
      </c>
      <c r="S133" s="123" t="e">
        <f t="shared" si="25"/>
        <v>#REF!</v>
      </c>
      <c r="T133" s="123" t="e">
        <f t="shared" si="26"/>
        <v>#REF!</v>
      </c>
      <c r="U133" s="123" t="e">
        <f t="shared" si="27"/>
        <v>#REF!</v>
      </c>
      <c r="V133" s="140" t="e">
        <f t="shared" si="22"/>
        <v>#REF!</v>
      </c>
    </row>
    <row r="134" spans="2:22" ht="18" x14ac:dyDescent="0.2">
      <c r="B134" s="141" t="e">
        <f>#REF!</f>
        <v>#REF!</v>
      </c>
      <c r="C134" s="141" t="e">
        <f>#REF!</f>
        <v>#REF!</v>
      </c>
      <c r="D134" s="142" t="e">
        <f>PROPER(#REF!)</f>
        <v>#REF!</v>
      </c>
      <c r="E134" s="142" t="e">
        <f>PROPER(#REF!)</f>
        <v>#REF!</v>
      </c>
      <c r="F134" s="135" t="e">
        <f>VLOOKUP(Table1345[[#This Row],[R No.]],'sheet 1'!#REF!,7,FALSE)</f>
        <v>#REF!</v>
      </c>
      <c r="G134" s="135" t="e">
        <f>VLOOKUP(Table1345[[#This Row],[R No.]],'sheet 1'!#REF!,11,FALSE)</f>
        <v>#REF!</v>
      </c>
      <c r="H134" s="135" t="e">
        <f>VLOOKUP(Table1345[[#This Row],[R No.]],'sheet 1'!#REF!,15,FALSE)</f>
        <v>#REF!</v>
      </c>
      <c r="I134" s="135" t="e">
        <f>VLOOKUP(Table1345[[#This Row],[R No.]],'sheet 1'!#REF!,19,FALSE)</f>
        <v>#REF!</v>
      </c>
      <c r="J134" s="135" t="e">
        <f>VLOOKUP(Table1345[[#This Row],[R No.]],'sheet 1'!#REF!,23,FALSE)</f>
        <v>#REF!</v>
      </c>
      <c r="K134" s="136" t="e">
        <f>VLOOKUP(Table1345[[#This Row],[R No.]],'sheet 1'!#REF!,38,FALSE)</f>
        <v>#REF!</v>
      </c>
      <c r="L134" s="143" t="e">
        <f t="shared" si="28"/>
        <v>#REF!</v>
      </c>
      <c r="M134" s="141" t="e">
        <f t="shared" si="15"/>
        <v>#REF!</v>
      </c>
      <c r="N134" s="182" t="e">
        <f>VLOOKUP(Table1345[[#This Row],[R No.]],'sheet 1'!#REF!,41,FALSE)</f>
        <v>#REF!</v>
      </c>
      <c r="O134" s="138" t="e">
        <f t="shared" si="16"/>
        <v>#REF!</v>
      </c>
      <c r="Q134" s="123" t="e">
        <f t="shared" si="23"/>
        <v>#REF!</v>
      </c>
      <c r="R134" s="123" t="e">
        <f t="shared" si="24"/>
        <v>#REF!</v>
      </c>
      <c r="S134" s="123" t="e">
        <f t="shared" si="25"/>
        <v>#REF!</v>
      </c>
      <c r="T134" s="123" t="e">
        <f t="shared" si="26"/>
        <v>#REF!</v>
      </c>
      <c r="U134" s="123" t="e">
        <f t="shared" si="27"/>
        <v>#REF!</v>
      </c>
      <c r="V134" s="140" t="e">
        <f t="shared" si="22"/>
        <v>#REF!</v>
      </c>
    </row>
    <row r="135" spans="2:22" ht="18" x14ac:dyDescent="0.2">
      <c r="B135" s="141" t="e">
        <f>#REF!</f>
        <v>#REF!</v>
      </c>
      <c r="C135" s="141" t="e">
        <f>#REF!</f>
        <v>#REF!</v>
      </c>
      <c r="D135" s="142" t="e">
        <f>PROPER(#REF!)</f>
        <v>#REF!</v>
      </c>
      <c r="E135" s="142" t="e">
        <f>PROPER(#REF!)</f>
        <v>#REF!</v>
      </c>
      <c r="F135" s="135" t="e">
        <f>VLOOKUP(Table1345[[#This Row],[R No.]],'sheet 1'!#REF!,7,FALSE)</f>
        <v>#REF!</v>
      </c>
      <c r="G135" s="135" t="e">
        <f>VLOOKUP(Table1345[[#This Row],[R No.]],'sheet 1'!#REF!,11,FALSE)</f>
        <v>#REF!</v>
      </c>
      <c r="H135" s="135" t="e">
        <f>VLOOKUP(Table1345[[#This Row],[R No.]],'sheet 1'!#REF!,15,FALSE)</f>
        <v>#REF!</v>
      </c>
      <c r="I135" s="135" t="e">
        <f>VLOOKUP(Table1345[[#This Row],[R No.]],'sheet 1'!#REF!,19,FALSE)</f>
        <v>#REF!</v>
      </c>
      <c r="J135" s="135" t="e">
        <f>VLOOKUP(Table1345[[#This Row],[R No.]],'sheet 1'!#REF!,23,FALSE)</f>
        <v>#REF!</v>
      </c>
      <c r="K135" s="136" t="e">
        <f>VLOOKUP(Table1345[[#This Row],[R No.]],'sheet 1'!#REF!,38,FALSE)</f>
        <v>#REF!</v>
      </c>
      <c r="L135" s="143" t="e">
        <f t="shared" si="28"/>
        <v>#REF!</v>
      </c>
      <c r="M135" s="141" t="e">
        <f t="shared" si="15"/>
        <v>#REF!</v>
      </c>
      <c r="N135" s="182" t="e">
        <f>VLOOKUP(Table1345[[#This Row],[R No.]],'sheet 1'!#REF!,41,FALSE)</f>
        <v>#REF!</v>
      </c>
      <c r="O135" s="138" t="e">
        <f t="shared" si="16"/>
        <v>#REF!</v>
      </c>
      <c r="Q135" s="123" t="e">
        <f t="shared" si="23"/>
        <v>#REF!</v>
      </c>
      <c r="R135" s="123" t="e">
        <f t="shared" si="24"/>
        <v>#REF!</v>
      </c>
      <c r="S135" s="123" t="e">
        <f t="shared" si="25"/>
        <v>#REF!</v>
      </c>
      <c r="T135" s="123" t="e">
        <f t="shared" si="26"/>
        <v>#REF!</v>
      </c>
      <c r="U135" s="123" t="e">
        <f t="shared" si="27"/>
        <v>#REF!</v>
      </c>
      <c r="V135" s="140" t="e">
        <f t="shared" si="22"/>
        <v>#REF!</v>
      </c>
    </row>
    <row r="136" spans="2:22" ht="18" x14ac:dyDescent="0.2">
      <c r="B136" s="141" t="e">
        <f>#REF!</f>
        <v>#REF!</v>
      </c>
      <c r="C136" s="141" t="e">
        <f>#REF!</f>
        <v>#REF!</v>
      </c>
      <c r="D136" s="142" t="e">
        <f>PROPER(#REF!)</f>
        <v>#REF!</v>
      </c>
      <c r="E136" s="142" t="e">
        <f>PROPER(#REF!)</f>
        <v>#REF!</v>
      </c>
      <c r="F136" s="135" t="e">
        <f>VLOOKUP(Table1345[[#This Row],[R No.]],'sheet 1'!#REF!,7,FALSE)</f>
        <v>#REF!</v>
      </c>
      <c r="G136" s="135" t="e">
        <f>VLOOKUP(Table1345[[#This Row],[R No.]],'sheet 1'!#REF!,11,FALSE)</f>
        <v>#REF!</v>
      </c>
      <c r="H136" s="135" t="e">
        <f>VLOOKUP(Table1345[[#This Row],[R No.]],'sheet 1'!#REF!,15,FALSE)</f>
        <v>#REF!</v>
      </c>
      <c r="I136" s="135" t="e">
        <f>VLOOKUP(Table1345[[#This Row],[R No.]],'sheet 1'!#REF!,19,FALSE)</f>
        <v>#REF!</v>
      </c>
      <c r="J136" s="135" t="e">
        <f>VLOOKUP(Table1345[[#This Row],[R No.]],'sheet 1'!#REF!,23,FALSE)</f>
        <v>#REF!</v>
      </c>
      <c r="K136" s="136" t="e">
        <f>VLOOKUP(Table1345[[#This Row],[R No.]],'sheet 1'!#REF!,38,FALSE)</f>
        <v>#REF!</v>
      </c>
      <c r="L136" s="143" t="e">
        <f t="shared" si="28"/>
        <v>#REF!</v>
      </c>
      <c r="M136" s="141" t="e">
        <f t="shared" si="15"/>
        <v>#REF!</v>
      </c>
      <c r="N136" s="182" t="e">
        <f>VLOOKUP(Table1345[[#This Row],[R No.]],'sheet 1'!#REF!,41,FALSE)</f>
        <v>#REF!</v>
      </c>
      <c r="O136" s="138" t="e">
        <f t="shared" si="16"/>
        <v>#REF!</v>
      </c>
      <c r="Q136" s="123" t="e">
        <f t="shared" si="23"/>
        <v>#REF!</v>
      </c>
      <c r="R136" s="123" t="e">
        <f t="shared" si="24"/>
        <v>#REF!</v>
      </c>
      <c r="S136" s="123" t="e">
        <f t="shared" si="25"/>
        <v>#REF!</v>
      </c>
      <c r="T136" s="123" t="e">
        <f t="shared" si="26"/>
        <v>#REF!</v>
      </c>
      <c r="U136" s="123" t="e">
        <f t="shared" si="27"/>
        <v>#REF!</v>
      </c>
      <c r="V136" s="140" t="e">
        <f t="shared" si="22"/>
        <v>#REF!</v>
      </c>
    </row>
    <row r="137" spans="2:22" ht="18" x14ac:dyDescent="0.2">
      <c r="B137" s="141" t="e">
        <f>#REF!</f>
        <v>#REF!</v>
      </c>
      <c r="C137" s="141" t="e">
        <f>#REF!</f>
        <v>#REF!</v>
      </c>
      <c r="D137" s="142" t="e">
        <f>PROPER(#REF!)</f>
        <v>#REF!</v>
      </c>
      <c r="E137" s="142" t="e">
        <f>PROPER(#REF!)</f>
        <v>#REF!</v>
      </c>
      <c r="F137" s="135" t="e">
        <f>VLOOKUP(Table1345[[#This Row],[R No.]],'sheet 1'!#REF!,7,FALSE)</f>
        <v>#REF!</v>
      </c>
      <c r="G137" s="135" t="e">
        <f>VLOOKUP(Table1345[[#This Row],[R No.]],'sheet 1'!#REF!,11,FALSE)</f>
        <v>#REF!</v>
      </c>
      <c r="H137" s="135" t="e">
        <f>VLOOKUP(Table1345[[#This Row],[R No.]],'sheet 1'!#REF!,15,FALSE)</f>
        <v>#REF!</v>
      </c>
      <c r="I137" s="135" t="e">
        <f>VLOOKUP(Table1345[[#This Row],[R No.]],'sheet 1'!#REF!,19,FALSE)</f>
        <v>#REF!</v>
      </c>
      <c r="J137" s="135" t="e">
        <f>VLOOKUP(Table1345[[#This Row],[R No.]],'sheet 1'!#REF!,23,FALSE)</f>
        <v>#REF!</v>
      </c>
      <c r="K137" s="136" t="e">
        <f>VLOOKUP(Table1345[[#This Row],[R No.]],'sheet 1'!#REF!,38,FALSE)</f>
        <v>#REF!</v>
      </c>
      <c r="L137" s="143" t="e">
        <f t="shared" si="28"/>
        <v>#REF!</v>
      </c>
      <c r="M137" s="141" t="e">
        <f t="shared" si="15"/>
        <v>#REF!</v>
      </c>
      <c r="N137" s="182" t="e">
        <f>VLOOKUP(Table1345[[#This Row],[R No.]],'sheet 1'!#REF!,41,FALSE)</f>
        <v>#REF!</v>
      </c>
      <c r="O137" s="138" t="e">
        <f t="shared" si="16"/>
        <v>#REF!</v>
      </c>
      <c r="Q137" s="123" t="e">
        <f t="shared" si="23"/>
        <v>#REF!</v>
      </c>
      <c r="R137" s="123" t="e">
        <f t="shared" si="24"/>
        <v>#REF!</v>
      </c>
      <c r="S137" s="123" t="e">
        <f t="shared" si="25"/>
        <v>#REF!</v>
      </c>
      <c r="T137" s="123" t="e">
        <f t="shared" si="26"/>
        <v>#REF!</v>
      </c>
      <c r="U137" s="123" t="e">
        <f t="shared" si="27"/>
        <v>#REF!</v>
      </c>
      <c r="V137" s="140" t="e">
        <f t="shared" si="22"/>
        <v>#REF!</v>
      </c>
    </row>
    <row r="138" spans="2:22" ht="18" x14ac:dyDescent="0.2">
      <c r="B138" s="141" t="e">
        <f>#REF!</f>
        <v>#REF!</v>
      </c>
      <c r="C138" s="141" t="e">
        <f>#REF!</f>
        <v>#REF!</v>
      </c>
      <c r="D138" s="142" t="e">
        <f>PROPER(#REF!)</f>
        <v>#REF!</v>
      </c>
      <c r="E138" s="142" t="e">
        <f>PROPER(#REF!)</f>
        <v>#REF!</v>
      </c>
      <c r="F138" s="135" t="e">
        <f>VLOOKUP(Table1345[[#This Row],[R No.]],'sheet 1'!#REF!,7,FALSE)</f>
        <v>#REF!</v>
      </c>
      <c r="G138" s="135" t="e">
        <f>VLOOKUP(Table1345[[#This Row],[R No.]],'sheet 1'!#REF!,11,FALSE)</f>
        <v>#REF!</v>
      </c>
      <c r="H138" s="135" t="e">
        <f>VLOOKUP(Table1345[[#This Row],[R No.]],'sheet 1'!#REF!,15,FALSE)</f>
        <v>#REF!</v>
      </c>
      <c r="I138" s="135" t="e">
        <f>VLOOKUP(Table1345[[#This Row],[R No.]],'sheet 1'!#REF!,19,FALSE)</f>
        <v>#REF!</v>
      </c>
      <c r="J138" s="135" t="e">
        <f>VLOOKUP(Table1345[[#This Row],[R No.]],'sheet 1'!#REF!,23,FALSE)</f>
        <v>#REF!</v>
      </c>
      <c r="K138" s="136" t="e">
        <f>VLOOKUP(Table1345[[#This Row],[R No.]],'sheet 1'!#REF!,38,FALSE)</f>
        <v>#REF!</v>
      </c>
      <c r="L138" s="143" t="e">
        <f t="shared" si="28"/>
        <v>#REF!</v>
      </c>
      <c r="M138" s="141" t="e">
        <f t="shared" ref="M138:M160" si="29">IF(K138&gt;3.99,"Excellent",IF(K138&gt;3.49,"Very Good",IF(K138&gt;2.99,"Good",IF(K138&gt;2.49,"Fair",IF(K138&gt;1.99,"Fair",IF(K138&gt;1.49,"Pass (Probation)",IF(K138&gt;0.99,"Pass (Probation)","Fail")))))))</f>
        <v>#REF!</v>
      </c>
      <c r="N138" s="182" t="e">
        <f>VLOOKUP(Table1345[[#This Row],[R No.]],'sheet 1'!#REF!,41,FALSE)</f>
        <v>#REF!</v>
      </c>
      <c r="O138" s="138" t="e">
        <f t="shared" ref="O138:O160" si="30">V138</f>
        <v>#REF!</v>
      </c>
      <c r="Q138" s="123" t="e">
        <f t="shared" ref="Q138:Q160" si="31">IF(F138="F",$F$9,"")</f>
        <v>#REF!</v>
      </c>
      <c r="R138" s="123" t="e">
        <f t="shared" ref="R138:R160" si="32">IF(G138="F",$G$9,"")</f>
        <v>#REF!</v>
      </c>
      <c r="S138" s="123" t="e">
        <f t="shared" ref="S138:S160" si="33">IF(H138="F",$H$9,"")</f>
        <v>#REF!</v>
      </c>
      <c r="T138" s="123" t="e">
        <f t="shared" ref="T138:T160" si="34">IF(I138="F",$I$9,"")</f>
        <v>#REF!</v>
      </c>
      <c r="U138" s="123" t="e">
        <f t="shared" ref="U138:U160" si="35">IF(J138="F",$J$9,"")</f>
        <v>#REF!</v>
      </c>
      <c r="V138" s="140" t="e">
        <f t="shared" si="22"/>
        <v>#REF!</v>
      </c>
    </row>
    <row r="139" spans="2:22" ht="18" x14ac:dyDescent="0.2">
      <c r="B139" s="141" t="e">
        <f>#REF!</f>
        <v>#REF!</v>
      </c>
      <c r="C139" s="141" t="e">
        <f>#REF!</f>
        <v>#REF!</v>
      </c>
      <c r="D139" s="142" t="e">
        <f>PROPER(#REF!)</f>
        <v>#REF!</v>
      </c>
      <c r="E139" s="142" t="e">
        <f>PROPER(#REF!)</f>
        <v>#REF!</v>
      </c>
      <c r="F139" s="135" t="e">
        <f>VLOOKUP(Table1345[[#This Row],[R No.]],'sheet 1'!#REF!,7,FALSE)</f>
        <v>#REF!</v>
      </c>
      <c r="G139" s="135" t="e">
        <f>VLOOKUP(Table1345[[#This Row],[R No.]],'sheet 1'!#REF!,11,FALSE)</f>
        <v>#REF!</v>
      </c>
      <c r="H139" s="135" t="e">
        <f>VLOOKUP(Table1345[[#This Row],[R No.]],'sheet 1'!#REF!,15,FALSE)</f>
        <v>#REF!</v>
      </c>
      <c r="I139" s="135" t="e">
        <f>VLOOKUP(Table1345[[#This Row],[R No.]],'sheet 1'!#REF!,19,FALSE)</f>
        <v>#REF!</v>
      </c>
      <c r="J139" s="135" t="e">
        <f>VLOOKUP(Table1345[[#This Row],[R No.]],'sheet 1'!#REF!,23,FALSE)</f>
        <v>#REF!</v>
      </c>
      <c r="K139" s="136" t="e">
        <f>VLOOKUP(Table1345[[#This Row],[R No.]],'sheet 1'!#REF!,38,FALSE)</f>
        <v>#REF!</v>
      </c>
      <c r="L139" s="143" t="e">
        <f t="shared" si="28"/>
        <v>#REF!</v>
      </c>
      <c r="M139" s="141" t="e">
        <f t="shared" si="29"/>
        <v>#REF!</v>
      </c>
      <c r="N139" s="182" t="e">
        <f>VLOOKUP(Table1345[[#This Row],[R No.]],'sheet 1'!#REF!,41,FALSE)</f>
        <v>#REF!</v>
      </c>
      <c r="O139" s="138" t="e">
        <f t="shared" si="30"/>
        <v>#REF!</v>
      </c>
      <c r="Q139" s="123" t="e">
        <f t="shared" si="31"/>
        <v>#REF!</v>
      </c>
      <c r="R139" s="123" t="e">
        <f t="shared" si="32"/>
        <v>#REF!</v>
      </c>
      <c r="S139" s="123" t="e">
        <f t="shared" si="33"/>
        <v>#REF!</v>
      </c>
      <c r="T139" s="123" t="e">
        <f t="shared" si="34"/>
        <v>#REF!</v>
      </c>
      <c r="U139" s="123" t="e">
        <f t="shared" si="35"/>
        <v>#REF!</v>
      </c>
      <c r="V139" s="140" t="e">
        <f t="shared" ref="V139:V160" si="36">CONCATENATE(Q139,CHAR(10),R139,CHAR(10),S139,CHAR(10),T139,CHAR(10),U139,CHAR(10),)</f>
        <v>#REF!</v>
      </c>
    </row>
    <row r="140" spans="2:22" ht="18" x14ac:dyDescent="0.2">
      <c r="B140" s="141" t="e">
        <f>#REF!</f>
        <v>#REF!</v>
      </c>
      <c r="C140" s="141" t="e">
        <f>#REF!</f>
        <v>#REF!</v>
      </c>
      <c r="D140" s="142" t="e">
        <f>PROPER(#REF!)</f>
        <v>#REF!</v>
      </c>
      <c r="E140" s="142" t="e">
        <f>PROPER(#REF!)</f>
        <v>#REF!</v>
      </c>
      <c r="F140" s="135" t="e">
        <f>VLOOKUP(Table1345[[#This Row],[R No.]],'sheet 1'!#REF!,7,FALSE)</f>
        <v>#REF!</v>
      </c>
      <c r="G140" s="135" t="e">
        <f>VLOOKUP(Table1345[[#This Row],[R No.]],'sheet 1'!#REF!,11,FALSE)</f>
        <v>#REF!</v>
      </c>
      <c r="H140" s="135" t="e">
        <f>VLOOKUP(Table1345[[#This Row],[R No.]],'sheet 1'!#REF!,15,FALSE)</f>
        <v>#REF!</v>
      </c>
      <c r="I140" s="135" t="e">
        <f>VLOOKUP(Table1345[[#This Row],[R No.]],'sheet 1'!#REF!,19,FALSE)</f>
        <v>#REF!</v>
      </c>
      <c r="J140" s="135" t="e">
        <f>VLOOKUP(Table1345[[#This Row],[R No.]],'sheet 1'!#REF!,23,FALSE)</f>
        <v>#REF!</v>
      </c>
      <c r="K140" s="136" t="e">
        <f>VLOOKUP(Table1345[[#This Row],[R No.]],'sheet 1'!#REF!,38,FALSE)</f>
        <v>#REF!</v>
      </c>
      <c r="L140" s="143" t="e">
        <f t="shared" si="28"/>
        <v>#REF!</v>
      </c>
      <c r="M140" s="141" t="e">
        <f t="shared" si="29"/>
        <v>#REF!</v>
      </c>
      <c r="N140" s="182" t="e">
        <f>VLOOKUP(Table1345[[#This Row],[R No.]],'sheet 1'!#REF!,41,FALSE)</f>
        <v>#REF!</v>
      </c>
      <c r="O140" s="138" t="e">
        <f t="shared" si="30"/>
        <v>#REF!</v>
      </c>
      <c r="Q140" s="123" t="e">
        <f t="shared" si="31"/>
        <v>#REF!</v>
      </c>
      <c r="R140" s="123" t="e">
        <f t="shared" si="32"/>
        <v>#REF!</v>
      </c>
      <c r="S140" s="123" t="e">
        <f t="shared" si="33"/>
        <v>#REF!</v>
      </c>
      <c r="T140" s="123" t="e">
        <f t="shared" si="34"/>
        <v>#REF!</v>
      </c>
      <c r="U140" s="123" t="e">
        <f t="shared" si="35"/>
        <v>#REF!</v>
      </c>
      <c r="V140" s="140" t="e">
        <f t="shared" si="36"/>
        <v>#REF!</v>
      </c>
    </row>
    <row r="141" spans="2:22" ht="18" x14ac:dyDescent="0.2">
      <c r="B141" s="141" t="e">
        <f>#REF!</f>
        <v>#REF!</v>
      </c>
      <c r="C141" s="141" t="e">
        <f>#REF!</f>
        <v>#REF!</v>
      </c>
      <c r="D141" s="142" t="e">
        <f>PROPER(#REF!)</f>
        <v>#REF!</v>
      </c>
      <c r="E141" s="142" t="e">
        <f>PROPER(#REF!)</f>
        <v>#REF!</v>
      </c>
      <c r="F141" s="135" t="e">
        <f>VLOOKUP(Table1345[[#This Row],[R No.]],'sheet 1'!#REF!,7,FALSE)</f>
        <v>#REF!</v>
      </c>
      <c r="G141" s="135" t="e">
        <f>VLOOKUP(Table1345[[#This Row],[R No.]],'sheet 1'!#REF!,11,FALSE)</f>
        <v>#REF!</v>
      </c>
      <c r="H141" s="135" t="e">
        <f>VLOOKUP(Table1345[[#This Row],[R No.]],'sheet 1'!#REF!,15,FALSE)</f>
        <v>#REF!</v>
      </c>
      <c r="I141" s="135" t="e">
        <f>VLOOKUP(Table1345[[#This Row],[R No.]],'sheet 1'!#REF!,19,FALSE)</f>
        <v>#REF!</v>
      </c>
      <c r="J141" s="135" t="e">
        <f>VLOOKUP(Table1345[[#This Row],[R No.]],'sheet 1'!#REF!,23,FALSE)</f>
        <v>#REF!</v>
      </c>
      <c r="K141" s="136" t="e">
        <f>VLOOKUP(Table1345[[#This Row],[R No.]],'sheet 1'!#REF!,38,FALSE)</f>
        <v>#REF!</v>
      </c>
      <c r="L141" s="143" t="e">
        <f t="shared" si="28"/>
        <v>#REF!</v>
      </c>
      <c r="M141" s="141" t="e">
        <f t="shared" si="29"/>
        <v>#REF!</v>
      </c>
      <c r="N141" s="182" t="e">
        <f>VLOOKUP(Table1345[[#This Row],[R No.]],'sheet 1'!#REF!,41,FALSE)</f>
        <v>#REF!</v>
      </c>
      <c r="O141" s="138" t="e">
        <f t="shared" si="30"/>
        <v>#REF!</v>
      </c>
      <c r="Q141" s="123" t="e">
        <f t="shared" si="31"/>
        <v>#REF!</v>
      </c>
      <c r="R141" s="123" t="e">
        <f t="shared" si="32"/>
        <v>#REF!</v>
      </c>
      <c r="S141" s="123" t="e">
        <f t="shared" si="33"/>
        <v>#REF!</v>
      </c>
      <c r="T141" s="123" t="e">
        <f t="shared" si="34"/>
        <v>#REF!</v>
      </c>
      <c r="U141" s="123" t="e">
        <f t="shared" si="35"/>
        <v>#REF!</v>
      </c>
      <c r="V141" s="140" t="e">
        <f t="shared" si="36"/>
        <v>#REF!</v>
      </c>
    </row>
    <row r="142" spans="2:22" ht="18" x14ac:dyDescent="0.2">
      <c r="B142" s="141" t="e">
        <f>#REF!</f>
        <v>#REF!</v>
      </c>
      <c r="C142" s="141" t="e">
        <f>#REF!</f>
        <v>#REF!</v>
      </c>
      <c r="D142" s="142" t="e">
        <f>PROPER(#REF!)</f>
        <v>#REF!</v>
      </c>
      <c r="E142" s="142" t="e">
        <f>PROPER(#REF!)</f>
        <v>#REF!</v>
      </c>
      <c r="F142" s="135" t="e">
        <f>VLOOKUP(Table1345[[#This Row],[R No.]],'sheet 1'!#REF!,7,FALSE)</f>
        <v>#REF!</v>
      </c>
      <c r="G142" s="135" t="e">
        <f>VLOOKUP(Table1345[[#This Row],[R No.]],'sheet 1'!#REF!,11,FALSE)</f>
        <v>#REF!</v>
      </c>
      <c r="H142" s="135" t="e">
        <f>VLOOKUP(Table1345[[#This Row],[R No.]],'sheet 1'!#REF!,15,FALSE)</f>
        <v>#REF!</v>
      </c>
      <c r="I142" s="135" t="e">
        <f>VLOOKUP(Table1345[[#This Row],[R No.]],'sheet 1'!#REF!,19,FALSE)</f>
        <v>#REF!</v>
      </c>
      <c r="J142" s="135" t="e">
        <f>VLOOKUP(Table1345[[#This Row],[R No.]],'sheet 1'!#REF!,23,FALSE)</f>
        <v>#REF!</v>
      </c>
      <c r="K142" s="136" t="e">
        <f>VLOOKUP(Table1345[[#This Row],[R No.]],'sheet 1'!#REF!,38,FALSE)</f>
        <v>#REF!</v>
      </c>
      <c r="L142" s="143" t="e">
        <f t="shared" si="28"/>
        <v>#REF!</v>
      </c>
      <c r="M142" s="141" t="e">
        <f t="shared" si="29"/>
        <v>#REF!</v>
      </c>
      <c r="N142" s="182" t="e">
        <f>VLOOKUP(Table1345[[#This Row],[R No.]],'sheet 1'!#REF!,41,FALSE)</f>
        <v>#REF!</v>
      </c>
      <c r="O142" s="138" t="e">
        <f t="shared" si="30"/>
        <v>#REF!</v>
      </c>
      <c r="Q142" s="123" t="e">
        <f t="shared" si="31"/>
        <v>#REF!</v>
      </c>
      <c r="R142" s="123" t="e">
        <f t="shared" si="32"/>
        <v>#REF!</v>
      </c>
      <c r="S142" s="123" t="e">
        <f t="shared" si="33"/>
        <v>#REF!</v>
      </c>
      <c r="T142" s="123" t="e">
        <f t="shared" si="34"/>
        <v>#REF!</v>
      </c>
      <c r="U142" s="123" t="e">
        <f t="shared" si="35"/>
        <v>#REF!</v>
      </c>
      <c r="V142" s="140" t="e">
        <f t="shared" si="36"/>
        <v>#REF!</v>
      </c>
    </row>
    <row r="143" spans="2:22" ht="18" x14ac:dyDescent="0.2">
      <c r="B143" s="141" t="e">
        <f>#REF!</f>
        <v>#REF!</v>
      </c>
      <c r="C143" s="141" t="e">
        <f>#REF!</f>
        <v>#REF!</v>
      </c>
      <c r="D143" s="142" t="e">
        <f>PROPER(#REF!)</f>
        <v>#REF!</v>
      </c>
      <c r="E143" s="142" t="e">
        <f>PROPER(#REF!)</f>
        <v>#REF!</v>
      </c>
      <c r="F143" s="135" t="e">
        <f>VLOOKUP(Table1345[[#This Row],[R No.]],'sheet 1'!#REF!,7,FALSE)</f>
        <v>#REF!</v>
      </c>
      <c r="G143" s="135" t="e">
        <f>VLOOKUP(Table1345[[#This Row],[R No.]],'sheet 1'!#REF!,11,FALSE)</f>
        <v>#REF!</v>
      </c>
      <c r="H143" s="135" t="e">
        <f>VLOOKUP(Table1345[[#This Row],[R No.]],'sheet 1'!#REF!,15,FALSE)</f>
        <v>#REF!</v>
      </c>
      <c r="I143" s="135" t="e">
        <f>VLOOKUP(Table1345[[#This Row],[R No.]],'sheet 1'!#REF!,19,FALSE)</f>
        <v>#REF!</v>
      </c>
      <c r="J143" s="135" t="e">
        <f>VLOOKUP(Table1345[[#This Row],[R No.]],'sheet 1'!#REF!,23,FALSE)</f>
        <v>#REF!</v>
      </c>
      <c r="K143" s="136" t="e">
        <f>VLOOKUP(Table1345[[#This Row],[R No.]],'sheet 1'!#REF!,38,FALSE)</f>
        <v>#REF!</v>
      </c>
      <c r="L143" s="143" t="e">
        <f t="shared" si="28"/>
        <v>#REF!</v>
      </c>
      <c r="M143" s="141" t="e">
        <f t="shared" si="29"/>
        <v>#REF!</v>
      </c>
      <c r="N143" s="182" t="e">
        <f>VLOOKUP(Table1345[[#This Row],[R No.]],'sheet 1'!#REF!,41,FALSE)</f>
        <v>#REF!</v>
      </c>
      <c r="O143" s="138" t="e">
        <f t="shared" si="30"/>
        <v>#REF!</v>
      </c>
      <c r="Q143" s="123" t="e">
        <f t="shared" si="31"/>
        <v>#REF!</v>
      </c>
      <c r="R143" s="123" t="e">
        <f t="shared" si="32"/>
        <v>#REF!</v>
      </c>
      <c r="S143" s="123" t="e">
        <f t="shared" si="33"/>
        <v>#REF!</v>
      </c>
      <c r="T143" s="123" t="e">
        <f t="shared" si="34"/>
        <v>#REF!</v>
      </c>
      <c r="U143" s="123" t="e">
        <f t="shared" si="35"/>
        <v>#REF!</v>
      </c>
      <c r="V143" s="140" t="e">
        <f t="shared" si="36"/>
        <v>#REF!</v>
      </c>
    </row>
    <row r="144" spans="2:22" ht="18" x14ac:dyDescent="0.2">
      <c r="B144" s="141" t="e">
        <f>#REF!</f>
        <v>#REF!</v>
      </c>
      <c r="C144" s="141" t="e">
        <f>#REF!</f>
        <v>#REF!</v>
      </c>
      <c r="D144" s="142" t="e">
        <f>PROPER(#REF!)</f>
        <v>#REF!</v>
      </c>
      <c r="E144" s="142" t="e">
        <f>PROPER(#REF!)</f>
        <v>#REF!</v>
      </c>
      <c r="F144" s="135" t="e">
        <f>VLOOKUP(Table1345[[#This Row],[R No.]],'sheet 1'!#REF!,7,FALSE)</f>
        <v>#REF!</v>
      </c>
      <c r="G144" s="135" t="e">
        <f>VLOOKUP(Table1345[[#This Row],[R No.]],'sheet 1'!#REF!,11,FALSE)</f>
        <v>#REF!</v>
      </c>
      <c r="H144" s="135" t="e">
        <f>VLOOKUP(Table1345[[#This Row],[R No.]],'sheet 1'!#REF!,15,FALSE)</f>
        <v>#REF!</v>
      </c>
      <c r="I144" s="135" t="e">
        <f>VLOOKUP(Table1345[[#This Row],[R No.]],'sheet 1'!#REF!,19,FALSE)</f>
        <v>#REF!</v>
      </c>
      <c r="J144" s="135" t="e">
        <f>VLOOKUP(Table1345[[#This Row],[R No.]],'sheet 1'!#REF!,23,FALSE)</f>
        <v>#REF!</v>
      </c>
      <c r="K144" s="136" t="e">
        <f>VLOOKUP(Table1345[[#This Row],[R No.]],'sheet 1'!#REF!,38,FALSE)</f>
        <v>#REF!</v>
      </c>
      <c r="L144" s="143" t="e">
        <f t="shared" si="28"/>
        <v>#REF!</v>
      </c>
      <c r="M144" s="141" t="e">
        <f t="shared" si="29"/>
        <v>#REF!</v>
      </c>
      <c r="N144" s="182" t="e">
        <f>VLOOKUP(Table1345[[#This Row],[R No.]],'sheet 1'!#REF!,41,FALSE)</f>
        <v>#REF!</v>
      </c>
      <c r="O144" s="138" t="e">
        <f t="shared" si="30"/>
        <v>#REF!</v>
      </c>
      <c r="Q144" s="123" t="e">
        <f t="shared" si="31"/>
        <v>#REF!</v>
      </c>
      <c r="R144" s="123" t="e">
        <f t="shared" si="32"/>
        <v>#REF!</v>
      </c>
      <c r="S144" s="123" t="e">
        <f t="shared" si="33"/>
        <v>#REF!</v>
      </c>
      <c r="T144" s="123" t="e">
        <f t="shared" si="34"/>
        <v>#REF!</v>
      </c>
      <c r="U144" s="123" t="e">
        <f t="shared" si="35"/>
        <v>#REF!</v>
      </c>
      <c r="V144" s="140" t="e">
        <f t="shared" si="36"/>
        <v>#REF!</v>
      </c>
    </row>
    <row r="145" spans="2:22" ht="18" x14ac:dyDescent="0.2">
      <c r="B145" s="141" t="e">
        <f>#REF!</f>
        <v>#REF!</v>
      </c>
      <c r="C145" s="141" t="e">
        <f>#REF!</f>
        <v>#REF!</v>
      </c>
      <c r="D145" s="142" t="e">
        <f>PROPER(#REF!)</f>
        <v>#REF!</v>
      </c>
      <c r="E145" s="142" t="e">
        <f>PROPER(#REF!)</f>
        <v>#REF!</v>
      </c>
      <c r="F145" s="135" t="e">
        <f>VLOOKUP(Table1345[[#This Row],[R No.]],'sheet 1'!#REF!,7,FALSE)</f>
        <v>#REF!</v>
      </c>
      <c r="G145" s="135" t="e">
        <f>VLOOKUP(Table1345[[#This Row],[R No.]],'sheet 1'!#REF!,11,FALSE)</f>
        <v>#REF!</v>
      </c>
      <c r="H145" s="135" t="e">
        <f>VLOOKUP(Table1345[[#This Row],[R No.]],'sheet 1'!#REF!,15,FALSE)</f>
        <v>#REF!</v>
      </c>
      <c r="I145" s="135" t="e">
        <f>VLOOKUP(Table1345[[#This Row],[R No.]],'sheet 1'!#REF!,19,FALSE)</f>
        <v>#REF!</v>
      </c>
      <c r="J145" s="135" t="e">
        <f>VLOOKUP(Table1345[[#This Row],[R No.]],'sheet 1'!#REF!,23,FALSE)</f>
        <v>#REF!</v>
      </c>
      <c r="K145" s="136" t="e">
        <f>VLOOKUP(Table1345[[#This Row],[R No.]],'sheet 1'!#REF!,38,FALSE)</f>
        <v>#REF!</v>
      </c>
      <c r="L145" s="143" t="e">
        <f t="shared" si="28"/>
        <v>#REF!</v>
      </c>
      <c r="M145" s="141" t="e">
        <f t="shared" si="29"/>
        <v>#REF!</v>
      </c>
      <c r="N145" s="182" t="e">
        <f>VLOOKUP(Table1345[[#This Row],[R No.]],'sheet 1'!#REF!,41,FALSE)</f>
        <v>#REF!</v>
      </c>
      <c r="O145" s="138" t="e">
        <f t="shared" si="30"/>
        <v>#REF!</v>
      </c>
      <c r="Q145" s="123" t="e">
        <f t="shared" si="31"/>
        <v>#REF!</v>
      </c>
      <c r="R145" s="123" t="e">
        <f t="shared" si="32"/>
        <v>#REF!</v>
      </c>
      <c r="S145" s="123" t="e">
        <f t="shared" si="33"/>
        <v>#REF!</v>
      </c>
      <c r="T145" s="123" t="e">
        <f t="shared" si="34"/>
        <v>#REF!</v>
      </c>
      <c r="U145" s="123" t="e">
        <f t="shared" si="35"/>
        <v>#REF!</v>
      </c>
      <c r="V145" s="140" t="e">
        <f t="shared" si="36"/>
        <v>#REF!</v>
      </c>
    </row>
    <row r="146" spans="2:22" ht="18" x14ac:dyDescent="0.2">
      <c r="B146" s="141" t="e">
        <f>#REF!</f>
        <v>#REF!</v>
      </c>
      <c r="C146" s="141" t="e">
        <f>#REF!</f>
        <v>#REF!</v>
      </c>
      <c r="D146" s="142" t="e">
        <f>PROPER(#REF!)</f>
        <v>#REF!</v>
      </c>
      <c r="E146" s="142" t="e">
        <f>PROPER(#REF!)</f>
        <v>#REF!</v>
      </c>
      <c r="F146" s="135" t="e">
        <f>VLOOKUP(Table1345[[#This Row],[R No.]],'sheet 1'!#REF!,7,FALSE)</f>
        <v>#REF!</v>
      </c>
      <c r="G146" s="135" t="e">
        <f>VLOOKUP(Table1345[[#This Row],[R No.]],'sheet 1'!#REF!,11,FALSE)</f>
        <v>#REF!</v>
      </c>
      <c r="H146" s="135" t="e">
        <f>VLOOKUP(Table1345[[#This Row],[R No.]],'sheet 1'!#REF!,15,FALSE)</f>
        <v>#REF!</v>
      </c>
      <c r="I146" s="135" t="e">
        <f>VLOOKUP(Table1345[[#This Row],[R No.]],'sheet 1'!#REF!,19,FALSE)</f>
        <v>#REF!</v>
      </c>
      <c r="J146" s="135" t="e">
        <f>VLOOKUP(Table1345[[#This Row],[R No.]],'sheet 1'!#REF!,23,FALSE)</f>
        <v>#REF!</v>
      </c>
      <c r="K146" s="136" t="e">
        <f>VLOOKUP(Table1345[[#This Row],[R No.]],'sheet 1'!#REF!,38,FALSE)</f>
        <v>#REF!</v>
      </c>
      <c r="L146" s="143" t="e">
        <f t="shared" si="28"/>
        <v>#REF!</v>
      </c>
      <c r="M146" s="141" t="e">
        <f t="shared" si="29"/>
        <v>#REF!</v>
      </c>
      <c r="N146" s="182" t="e">
        <f>VLOOKUP(Table1345[[#This Row],[R No.]],'sheet 1'!#REF!,41,FALSE)</f>
        <v>#REF!</v>
      </c>
      <c r="O146" s="138" t="e">
        <f t="shared" si="30"/>
        <v>#REF!</v>
      </c>
      <c r="Q146" s="123" t="e">
        <f t="shared" si="31"/>
        <v>#REF!</v>
      </c>
      <c r="R146" s="123" t="e">
        <f t="shared" si="32"/>
        <v>#REF!</v>
      </c>
      <c r="S146" s="123" t="e">
        <f t="shared" si="33"/>
        <v>#REF!</v>
      </c>
      <c r="T146" s="123" t="e">
        <f t="shared" si="34"/>
        <v>#REF!</v>
      </c>
      <c r="U146" s="123" t="e">
        <f t="shared" si="35"/>
        <v>#REF!</v>
      </c>
      <c r="V146" s="140" t="e">
        <f t="shared" si="36"/>
        <v>#REF!</v>
      </c>
    </row>
    <row r="147" spans="2:22" ht="18" x14ac:dyDescent="0.2">
      <c r="B147" s="141" t="e">
        <f>#REF!</f>
        <v>#REF!</v>
      </c>
      <c r="C147" s="141" t="e">
        <f>#REF!</f>
        <v>#REF!</v>
      </c>
      <c r="D147" s="142" t="e">
        <f>PROPER(#REF!)</f>
        <v>#REF!</v>
      </c>
      <c r="E147" s="142" t="e">
        <f>PROPER(#REF!)</f>
        <v>#REF!</v>
      </c>
      <c r="F147" s="135" t="e">
        <f>VLOOKUP(Table1345[[#This Row],[R No.]],'sheet 1'!#REF!,7,FALSE)</f>
        <v>#REF!</v>
      </c>
      <c r="G147" s="135" t="e">
        <f>VLOOKUP(Table1345[[#This Row],[R No.]],'sheet 1'!#REF!,11,FALSE)</f>
        <v>#REF!</v>
      </c>
      <c r="H147" s="135" t="e">
        <f>VLOOKUP(Table1345[[#This Row],[R No.]],'sheet 1'!#REF!,15,FALSE)</f>
        <v>#REF!</v>
      </c>
      <c r="I147" s="135" t="e">
        <f>VLOOKUP(Table1345[[#This Row],[R No.]],'sheet 1'!#REF!,19,FALSE)</f>
        <v>#REF!</v>
      </c>
      <c r="J147" s="135" t="e">
        <f>VLOOKUP(Table1345[[#This Row],[R No.]],'sheet 1'!#REF!,23,FALSE)</f>
        <v>#REF!</v>
      </c>
      <c r="K147" s="136" t="e">
        <f>VLOOKUP(Table1345[[#This Row],[R No.]],'sheet 1'!#REF!,38,FALSE)</f>
        <v>#REF!</v>
      </c>
      <c r="L147" s="143" t="e">
        <f t="shared" si="28"/>
        <v>#REF!</v>
      </c>
      <c r="M147" s="141" t="e">
        <f t="shared" si="29"/>
        <v>#REF!</v>
      </c>
      <c r="N147" s="182" t="e">
        <f>VLOOKUP(Table1345[[#This Row],[R No.]],'sheet 1'!#REF!,41,FALSE)</f>
        <v>#REF!</v>
      </c>
      <c r="O147" s="138" t="e">
        <f t="shared" si="30"/>
        <v>#REF!</v>
      </c>
      <c r="Q147" s="123" t="e">
        <f t="shared" si="31"/>
        <v>#REF!</v>
      </c>
      <c r="R147" s="123" t="e">
        <f t="shared" si="32"/>
        <v>#REF!</v>
      </c>
      <c r="S147" s="123" t="e">
        <f t="shared" si="33"/>
        <v>#REF!</v>
      </c>
      <c r="T147" s="123" t="e">
        <f t="shared" si="34"/>
        <v>#REF!</v>
      </c>
      <c r="U147" s="123" t="e">
        <f t="shared" si="35"/>
        <v>#REF!</v>
      </c>
      <c r="V147" s="140" t="e">
        <f t="shared" si="36"/>
        <v>#REF!</v>
      </c>
    </row>
    <row r="148" spans="2:22" ht="18" x14ac:dyDescent="0.2">
      <c r="B148" s="141" t="e">
        <f>#REF!</f>
        <v>#REF!</v>
      </c>
      <c r="C148" s="141" t="e">
        <f>#REF!</f>
        <v>#REF!</v>
      </c>
      <c r="D148" s="142" t="e">
        <f>PROPER(#REF!)</f>
        <v>#REF!</v>
      </c>
      <c r="E148" s="142" t="e">
        <f>PROPER(#REF!)</f>
        <v>#REF!</v>
      </c>
      <c r="F148" s="135" t="e">
        <f>VLOOKUP(Table1345[[#This Row],[R No.]],'sheet 1'!#REF!,7,FALSE)</f>
        <v>#REF!</v>
      </c>
      <c r="G148" s="135" t="e">
        <f>VLOOKUP(Table1345[[#This Row],[R No.]],'sheet 1'!#REF!,11,FALSE)</f>
        <v>#REF!</v>
      </c>
      <c r="H148" s="135" t="e">
        <f>VLOOKUP(Table1345[[#This Row],[R No.]],'sheet 1'!#REF!,15,FALSE)</f>
        <v>#REF!</v>
      </c>
      <c r="I148" s="135" t="e">
        <f>VLOOKUP(Table1345[[#This Row],[R No.]],'sheet 1'!#REF!,19,FALSE)</f>
        <v>#REF!</v>
      </c>
      <c r="J148" s="135" t="e">
        <f>VLOOKUP(Table1345[[#This Row],[R No.]],'sheet 1'!#REF!,23,FALSE)</f>
        <v>#REF!</v>
      </c>
      <c r="K148" s="136" t="e">
        <f>VLOOKUP(Table1345[[#This Row],[R No.]],'sheet 1'!#REF!,38,FALSE)</f>
        <v>#REF!</v>
      </c>
      <c r="L148" s="143" t="e">
        <f t="shared" si="28"/>
        <v>#REF!</v>
      </c>
      <c r="M148" s="141" t="e">
        <f t="shared" si="29"/>
        <v>#REF!</v>
      </c>
      <c r="N148" s="182" t="e">
        <f>VLOOKUP(Table1345[[#This Row],[R No.]],'sheet 1'!#REF!,41,FALSE)</f>
        <v>#REF!</v>
      </c>
      <c r="O148" s="138" t="e">
        <f t="shared" si="30"/>
        <v>#REF!</v>
      </c>
      <c r="Q148" s="123" t="e">
        <f t="shared" si="31"/>
        <v>#REF!</v>
      </c>
      <c r="R148" s="123" t="e">
        <f t="shared" si="32"/>
        <v>#REF!</v>
      </c>
      <c r="S148" s="123" t="e">
        <f t="shared" si="33"/>
        <v>#REF!</v>
      </c>
      <c r="T148" s="123" t="e">
        <f t="shared" si="34"/>
        <v>#REF!</v>
      </c>
      <c r="U148" s="123" t="e">
        <f t="shared" si="35"/>
        <v>#REF!</v>
      </c>
      <c r="V148" s="140" t="e">
        <f t="shared" si="36"/>
        <v>#REF!</v>
      </c>
    </row>
    <row r="149" spans="2:22" ht="18" x14ac:dyDescent="0.2">
      <c r="B149" s="141" t="e">
        <f>#REF!</f>
        <v>#REF!</v>
      </c>
      <c r="C149" s="141" t="e">
        <f>#REF!</f>
        <v>#REF!</v>
      </c>
      <c r="D149" s="142" t="e">
        <f>PROPER(#REF!)</f>
        <v>#REF!</v>
      </c>
      <c r="E149" s="142" t="e">
        <f>PROPER(#REF!)</f>
        <v>#REF!</v>
      </c>
      <c r="F149" s="135" t="e">
        <f>VLOOKUP(Table1345[[#This Row],[R No.]],'sheet 1'!#REF!,7,FALSE)</f>
        <v>#REF!</v>
      </c>
      <c r="G149" s="135" t="e">
        <f>VLOOKUP(Table1345[[#This Row],[R No.]],'sheet 1'!#REF!,11,FALSE)</f>
        <v>#REF!</v>
      </c>
      <c r="H149" s="135" t="e">
        <f>VLOOKUP(Table1345[[#This Row],[R No.]],'sheet 1'!#REF!,15,FALSE)</f>
        <v>#REF!</v>
      </c>
      <c r="I149" s="135" t="e">
        <f>VLOOKUP(Table1345[[#This Row],[R No.]],'sheet 1'!#REF!,19,FALSE)</f>
        <v>#REF!</v>
      </c>
      <c r="J149" s="135" t="e">
        <f>VLOOKUP(Table1345[[#This Row],[R No.]],'sheet 1'!#REF!,23,FALSE)</f>
        <v>#REF!</v>
      </c>
      <c r="K149" s="136" t="e">
        <f>VLOOKUP(Table1345[[#This Row],[R No.]],'sheet 1'!#REF!,38,FALSE)</f>
        <v>#REF!</v>
      </c>
      <c r="L149" s="143" t="e">
        <f t="shared" si="28"/>
        <v>#REF!</v>
      </c>
      <c r="M149" s="141" t="e">
        <f t="shared" si="29"/>
        <v>#REF!</v>
      </c>
      <c r="N149" s="182" t="e">
        <f>VLOOKUP(Table1345[[#This Row],[R No.]],'sheet 1'!#REF!,41,FALSE)</f>
        <v>#REF!</v>
      </c>
      <c r="O149" s="138" t="e">
        <f t="shared" si="30"/>
        <v>#REF!</v>
      </c>
      <c r="Q149" s="123" t="e">
        <f t="shared" si="31"/>
        <v>#REF!</v>
      </c>
      <c r="R149" s="123" t="e">
        <f t="shared" si="32"/>
        <v>#REF!</v>
      </c>
      <c r="S149" s="123" t="e">
        <f t="shared" si="33"/>
        <v>#REF!</v>
      </c>
      <c r="T149" s="123" t="e">
        <f t="shared" si="34"/>
        <v>#REF!</v>
      </c>
      <c r="U149" s="123" t="e">
        <f t="shared" si="35"/>
        <v>#REF!</v>
      </c>
      <c r="V149" s="140" t="e">
        <f t="shared" si="36"/>
        <v>#REF!</v>
      </c>
    </row>
    <row r="150" spans="2:22" ht="18" x14ac:dyDescent="0.2">
      <c r="B150" s="141" t="e">
        <f>#REF!</f>
        <v>#REF!</v>
      </c>
      <c r="C150" s="141" t="e">
        <f>#REF!</f>
        <v>#REF!</v>
      </c>
      <c r="D150" s="142" t="e">
        <f>PROPER(#REF!)</f>
        <v>#REF!</v>
      </c>
      <c r="E150" s="142" t="e">
        <f>PROPER(#REF!)</f>
        <v>#REF!</v>
      </c>
      <c r="F150" s="135" t="e">
        <f>VLOOKUP(Table1345[[#This Row],[R No.]],'sheet 1'!#REF!,7,FALSE)</f>
        <v>#REF!</v>
      </c>
      <c r="G150" s="135" t="e">
        <f>VLOOKUP(Table1345[[#This Row],[R No.]],'sheet 1'!#REF!,11,FALSE)</f>
        <v>#REF!</v>
      </c>
      <c r="H150" s="135" t="e">
        <f>VLOOKUP(Table1345[[#This Row],[R No.]],'sheet 1'!#REF!,15,FALSE)</f>
        <v>#REF!</v>
      </c>
      <c r="I150" s="135" t="e">
        <f>VLOOKUP(Table1345[[#This Row],[R No.]],'sheet 1'!#REF!,19,FALSE)</f>
        <v>#REF!</v>
      </c>
      <c r="J150" s="135" t="e">
        <f>VLOOKUP(Table1345[[#This Row],[R No.]],'sheet 1'!#REF!,23,FALSE)</f>
        <v>#REF!</v>
      </c>
      <c r="K150" s="136" t="e">
        <f>VLOOKUP(Table1345[[#This Row],[R No.]],'sheet 1'!#REF!,38,FALSE)</f>
        <v>#REF!</v>
      </c>
      <c r="L150" s="143" t="e">
        <f t="shared" si="28"/>
        <v>#REF!</v>
      </c>
      <c r="M150" s="141" t="e">
        <f t="shared" si="29"/>
        <v>#REF!</v>
      </c>
      <c r="N150" s="182" t="e">
        <f>VLOOKUP(Table1345[[#This Row],[R No.]],'sheet 1'!#REF!,41,FALSE)</f>
        <v>#REF!</v>
      </c>
      <c r="O150" s="138" t="e">
        <f t="shared" si="30"/>
        <v>#REF!</v>
      </c>
      <c r="Q150" s="123" t="e">
        <f t="shared" si="31"/>
        <v>#REF!</v>
      </c>
      <c r="R150" s="123" t="e">
        <f t="shared" si="32"/>
        <v>#REF!</v>
      </c>
      <c r="S150" s="123" t="e">
        <f t="shared" si="33"/>
        <v>#REF!</v>
      </c>
      <c r="T150" s="123" t="e">
        <f t="shared" si="34"/>
        <v>#REF!</v>
      </c>
      <c r="U150" s="123" t="e">
        <f t="shared" si="35"/>
        <v>#REF!</v>
      </c>
      <c r="V150" s="140" t="e">
        <f t="shared" si="36"/>
        <v>#REF!</v>
      </c>
    </row>
    <row r="151" spans="2:22" ht="18" x14ac:dyDescent="0.2">
      <c r="B151" s="141" t="e">
        <f>#REF!</f>
        <v>#REF!</v>
      </c>
      <c r="C151" s="141" t="e">
        <f>#REF!</f>
        <v>#REF!</v>
      </c>
      <c r="D151" s="142" t="e">
        <f>PROPER(#REF!)</f>
        <v>#REF!</v>
      </c>
      <c r="E151" s="142" t="e">
        <f>PROPER(#REF!)</f>
        <v>#REF!</v>
      </c>
      <c r="F151" s="135" t="e">
        <f>VLOOKUP(Table1345[[#This Row],[R No.]],'sheet 1'!#REF!,7,FALSE)</f>
        <v>#REF!</v>
      </c>
      <c r="G151" s="135" t="e">
        <f>VLOOKUP(Table1345[[#This Row],[R No.]],'sheet 1'!#REF!,11,FALSE)</f>
        <v>#REF!</v>
      </c>
      <c r="H151" s="135" t="e">
        <f>VLOOKUP(Table1345[[#This Row],[R No.]],'sheet 1'!#REF!,15,FALSE)</f>
        <v>#REF!</v>
      </c>
      <c r="I151" s="135" t="e">
        <f>VLOOKUP(Table1345[[#This Row],[R No.]],'sheet 1'!#REF!,19,FALSE)</f>
        <v>#REF!</v>
      </c>
      <c r="J151" s="135" t="e">
        <f>VLOOKUP(Table1345[[#This Row],[R No.]],'sheet 1'!#REF!,23,FALSE)</f>
        <v>#REF!</v>
      </c>
      <c r="K151" s="136" t="e">
        <f>VLOOKUP(Table1345[[#This Row],[R No.]],'sheet 1'!#REF!,38,FALSE)</f>
        <v>#REF!</v>
      </c>
      <c r="L151" s="143" t="e">
        <f t="shared" si="28"/>
        <v>#REF!</v>
      </c>
      <c r="M151" s="141" t="e">
        <f t="shared" si="29"/>
        <v>#REF!</v>
      </c>
      <c r="N151" s="182" t="e">
        <f>VLOOKUP(Table1345[[#This Row],[R No.]],'sheet 1'!#REF!,41,FALSE)</f>
        <v>#REF!</v>
      </c>
      <c r="O151" s="138" t="e">
        <f t="shared" si="30"/>
        <v>#REF!</v>
      </c>
      <c r="Q151" s="123" t="e">
        <f t="shared" si="31"/>
        <v>#REF!</v>
      </c>
      <c r="R151" s="123" t="e">
        <f t="shared" si="32"/>
        <v>#REF!</v>
      </c>
      <c r="S151" s="123" t="e">
        <f t="shared" si="33"/>
        <v>#REF!</v>
      </c>
      <c r="T151" s="123" t="e">
        <f t="shared" si="34"/>
        <v>#REF!</v>
      </c>
      <c r="U151" s="123" t="e">
        <f t="shared" si="35"/>
        <v>#REF!</v>
      </c>
      <c r="V151" s="140" t="e">
        <f t="shared" si="36"/>
        <v>#REF!</v>
      </c>
    </row>
    <row r="152" spans="2:22" ht="18" x14ac:dyDescent="0.2">
      <c r="B152" s="141" t="e">
        <f>#REF!</f>
        <v>#REF!</v>
      </c>
      <c r="C152" s="141" t="e">
        <f>#REF!</f>
        <v>#REF!</v>
      </c>
      <c r="D152" s="142" t="e">
        <f>PROPER(#REF!)</f>
        <v>#REF!</v>
      </c>
      <c r="E152" s="142" t="e">
        <f>PROPER(#REF!)</f>
        <v>#REF!</v>
      </c>
      <c r="F152" s="135" t="e">
        <f>VLOOKUP(Table1345[[#This Row],[R No.]],'sheet 1'!#REF!,7,FALSE)</f>
        <v>#REF!</v>
      </c>
      <c r="G152" s="135" t="e">
        <f>VLOOKUP(Table1345[[#This Row],[R No.]],'sheet 1'!#REF!,11,FALSE)</f>
        <v>#REF!</v>
      </c>
      <c r="H152" s="135" t="e">
        <f>VLOOKUP(Table1345[[#This Row],[R No.]],'sheet 1'!#REF!,15,FALSE)</f>
        <v>#REF!</v>
      </c>
      <c r="I152" s="135" t="e">
        <f>VLOOKUP(Table1345[[#This Row],[R No.]],'sheet 1'!#REF!,19,FALSE)</f>
        <v>#REF!</v>
      </c>
      <c r="J152" s="135" t="e">
        <f>VLOOKUP(Table1345[[#This Row],[R No.]],'sheet 1'!#REF!,23,FALSE)</f>
        <v>#REF!</v>
      </c>
      <c r="K152" s="136" t="e">
        <f>VLOOKUP(Table1345[[#This Row],[R No.]],'sheet 1'!#REF!,38,FALSE)</f>
        <v>#REF!</v>
      </c>
      <c r="L152" s="143" t="e">
        <f t="shared" si="28"/>
        <v>#REF!</v>
      </c>
      <c r="M152" s="141" t="e">
        <f t="shared" si="29"/>
        <v>#REF!</v>
      </c>
      <c r="N152" s="182" t="e">
        <f>VLOOKUP(Table1345[[#This Row],[R No.]],'sheet 1'!#REF!,41,FALSE)</f>
        <v>#REF!</v>
      </c>
      <c r="O152" s="138" t="e">
        <f t="shared" si="30"/>
        <v>#REF!</v>
      </c>
      <c r="Q152" s="123" t="e">
        <f t="shared" si="31"/>
        <v>#REF!</v>
      </c>
      <c r="R152" s="123" t="e">
        <f t="shared" si="32"/>
        <v>#REF!</v>
      </c>
      <c r="S152" s="123" t="e">
        <f t="shared" si="33"/>
        <v>#REF!</v>
      </c>
      <c r="T152" s="123" t="e">
        <f t="shared" si="34"/>
        <v>#REF!</v>
      </c>
      <c r="U152" s="123" t="e">
        <f t="shared" si="35"/>
        <v>#REF!</v>
      </c>
      <c r="V152" s="140" t="e">
        <f t="shared" si="36"/>
        <v>#REF!</v>
      </c>
    </row>
    <row r="153" spans="2:22" ht="18" x14ac:dyDescent="0.2">
      <c r="B153" s="141" t="e">
        <f>#REF!</f>
        <v>#REF!</v>
      </c>
      <c r="C153" s="141" t="e">
        <f>#REF!</f>
        <v>#REF!</v>
      </c>
      <c r="D153" s="142" t="e">
        <f>PROPER(#REF!)</f>
        <v>#REF!</v>
      </c>
      <c r="E153" s="142" t="e">
        <f>PROPER(#REF!)</f>
        <v>#REF!</v>
      </c>
      <c r="F153" s="135" t="e">
        <f>VLOOKUP(Table1345[[#This Row],[R No.]],'sheet 1'!#REF!,7,FALSE)</f>
        <v>#REF!</v>
      </c>
      <c r="G153" s="135" t="e">
        <f>VLOOKUP(Table1345[[#This Row],[R No.]],'sheet 1'!#REF!,11,FALSE)</f>
        <v>#REF!</v>
      </c>
      <c r="H153" s="135" t="e">
        <f>VLOOKUP(Table1345[[#This Row],[R No.]],'sheet 1'!#REF!,15,FALSE)</f>
        <v>#REF!</v>
      </c>
      <c r="I153" s="135" t="e">
        <f>VLOOKUP(Table1345[[#This Row],[R No.]],'sheet 1'!#REF!,19,FALSE)</f>
        <v>#REF!</v>
      </c>
      <c r="J153" s="135" t="e">
        <f>VLOOKUP(Table1345[[#This Row],[R No.]],'sheet 1'!#REF!,23,FALSE)</f>
        <v>#REF!</v>
      </c>
      <c r="K153" s="136" t="e">
        <f>VLOOKUP(Table1345[[#This Row],[R No.]],'sheet 1'!#REF!,38,FALSE)</f>
        <v>#REF!</v>
      </c>
      <c r="L153" s="143" t="e">
        <f t="shared" si="28"/>
        <v>#REF!</v>
      </c>
      <c r="M153" s="141" t="e">
        <f t="shared" si="29"/>
        <v>#REF!</v>
      </c>
      <c r="N153" s="182" t="e">
        <f>VLOOKUP(Table1345[[#This Row],[R No.]],'sheet 1'!#REF!,41,FALSE)</f>
        <v>#REF!</v>
      </c>
      <c r="O153" s="138" t="e">
        <f t="shared" si="30"/>
        <v>#REF!</v>
      </c>
      <c r="Q153" s="123" t="e">
        <f t="shared" si="31"/>
        <v>#REF!</v>
      </c>
      <c r="R153" s="123" t="e">
        <f t="shared" si="32"/>
        <v>#REF!</v>
      </c>
      <c r="S153" s="123" t="e">
        <f t="shared" si="33"/>
        <v>#REF!</v>
      </c>
      <c r="T153" s="123" t="e">
        <f t="shared" si="34"/>
        <v>#REF!</v>
      </c>
      <c r="U153" s="123" t="e">
        <f t="shared" si="35"/>
        <v>#REF!</v>
      </c>
      <c r="V153" s="140" t="e">
        <f t="shared" si="36"/>
        <v>#REF!</v>
      </c>
    </row>
    <row r="154" spans="2:22" ht="18" x14ac:dyDescent="0.2">
      <c r="B154" s="141" t="e">
        <f>#REF!</f>
        <v>#REF!</v>
      </c>
      <c r="C154" s="141" t="e">
        <f>#REF!</f>
        <v>#REF!</v>
      </c>
      <c r="D154" s="142" t="e">
        <f>PROPER(#REF!)</f>
        <v>#REF!</v>
      </c>
      <c r="E154" s="142" t="e">
        <f>PROPER(#REF!)</f>
        <v>#REF!</v>
      </c>
      <c r="F154" s="135" t="e">
        <f>VLOOKUP(Table1345[[#This Row],[R No.]],'sheet 1'!#REF!,7,FALSE)</f>
        <v>#REF!</v>
      </c>
      <c r="G154" s="135" t="e">
        <f>VLOOKUP(Table1345[[#This Row],[R No.]],'sheet 1'!#REF!,11,FALSE)</f>
        <v>#REF!</v>
      </c>
      <c r="H154" s="135" t="e">
        <f>VLOOKUP(Table1345[[#This Row],[R No.]],'sheet 1'!#REF!,15,FALSE)</f>
        <v>#REF!</v>
      </c>
      <c r="I154" s="135" t="e">
        <f>VLOOKUP(Table1345[[#This Row],[R No.]],'sheet 1'!#REF!,19,FALSE)</f>
        <v>#REF!</v>
      </c>
      <c r="J154" s="135" t="e">
        <f>VLOOKUP(Table1345[[#This Row],[R No.]],'sheet 1'!#REF!,23,FALSE)</f>
        <v>#REF!</v>
      </c>
      <c r="K154" s="136" t="e">
        <f>VLOOKUP(Table1345[[#This Row],[R No.]],'sheet 1'!#REF!,38,FALSE)</f>
        <v>#REF!</v>
      </c>
      <c r="L154" s="143" t="e">
        <f t="shared" si="28"/>
        <v>#REF!</v>
      </c>
      <c r="M154" s="141" t="e">
        <f t="shared" si="29"/>
        <v>#REF!</v>
      </c>
      <c r="N154" s="182" t="e">
        <f>VLOOKUP(Table1345[[#This Row],[R No.]],'sheet 1'!#REF!,41,FALSE)</f>
        <v>#REF!</v>
      </c>
      <c r="O154" s="138" t="e">
        <f t="shared" si="30"/>
        <v>#REF!</v>
      </c>
      <c r="Q154" s="123" t="e">
        <f t="shared" si="31"/>
        <v>#REF!</v>
      </c>
      <c r="R154" s="123" t="e">
        <f t="shared" si="32"/>
        <v>#REF!</v>
      </c>
      <c r="S154" s="123" t="e">
        <f t="shared" si="33"/>
        <v>#REF!</v>
      </c>
      <c r="T154" s="123" t="e">
        <f t="shared" si="34"/>
        <v>#REF!</v>
      </c>
      <c r="U154" s="123" t="e">
        <f t="shared" si="35"/>
        <v>#REF!</v>
      </c>
      <c r="V154" s="140" t="e">
        <f t="shared" si="36"/>
        <v>#REF!</v>
      </c>
    </row>
    <row r="155" spans="2:22" ht="18" x14ac:dyDescent="0.2">
      <c r="B155" s="141" t="e">
        <f>#REF!</f>
        <v>#REF!</v>
      </c>
      <c r="C155" s="141" t="e">
        <f>#REF!</f>
        <v>#REF!</v>
      </c>
      <c r="D155" s="142" t="e">
        <f>PROPER(#REF!)</f>
        <v>#REF!</v>
      </c>
      <c r="E155" s="142" t="e">
        <f>PROPER(#REF!)</f>
        <v>#REF!</v>
      </c>
      <c r="F155" s="135" t="e">
        <f>VLOOKUP(Table1345[[#This Row],[R No.]],'sheet 1'!#REF!,7,FALSE)</f>
        <v>#REF!</v>
      </c>
      <c r="G155" s="135" t="e">
        <f>VLOOKUP(Table1345[[#This Row],[R No.]],'sheet 1'!#REF!,11,FALSE)</f>
        <v>#REF!</v>
      </c>
      <c r="H155" s="135" t="e">
        <f>VLOOKUP(Table1345[[#This Row],[R No.]],'sheet 1'!#REF!,15,FALSE)</f>
        <v>#REF!</v>
      </c>
      <c r="I155" s="135" t="e">
        <f>VLOOKUP(Table1345[[#This Row],[R No.]],'sheet 1'!#REF!,19,FALSE)</f>
        <v>#REF!</v>
      </c>
      <c r="J155" s="135" t="e">
        <f>VLOOKUP(Table1345[[#This Row],[R No.]],'sheet 1'!#REF!,23,FALSE)</f>
        <v>#REF!</v>
      </c>
      <c r="K155" s="136" t="e">
        <f>VLOOKUP(Table1345[[#This Row],[R No.]],'sheet 1'!#REF!,38,FALSE)</f>
        <v>#REF!</v>
      </c>
      <c r="L155" s="143" t="e">
        <f t="shared" si="28"/>
        <v>#REF!</v>
      </c>
      <c r="M155" s="141" t="e">
        <f t="shared" si="29"/>
        <v>#REF!</v>
      </c>
      <c r="N155" s="182" t="e">
        <f>VLOOKUP(Table1345[[#This Row],[R No.]],'sheet 1'!#REF!,41,FALSE)</f>
        <v>#REF!</v>
      </c>
      <c r="O155" s="138" t="e">
        <f t="shared" si="30"/>
        <v>#REF!</v>
      </c>
      <c r="Q155" s="123" t="e">
        <f t="shared" si="31"/>
        <v>#REF!</v>
      </c>
      <c r="R155" s="123" t="e">
        <f t="shared" si="32"/>
        <v>#REF!</v>
      </c>
      <c r="S155" s="123" t="e">
        <f t="shared" si="33"/>
        <v>#REF!</v>
      </c>
      <c r="T155" s="123" t="e">
        <f t="shared" si="34"/>
        <v>#REF!</v>
      </c>
      <c r="U155" s="123" t="e">
        <f t="shared" si="35"/>
        <v>#REF!</v>
      </c>
      <c r="V155" s="140" t="e">
        <f t="shared" si="36"/>
        <v>#REF!</v>
      </c>
    </row>
    <row r="156" spans="2:22" ht="18" x14ac:dyDescent="0.2">
      <c r="B156" s="141" t="e">
        <f>#REF!</f>
        <v>#REF!</v>
      </c>
      <c r="C156" s="141" t="e">
        <f>#REF!</f>
        <v>#REF!</v>
      </c>
      <c r="D156" s="142" t="e">
        <f>PROPER(#REF!)</f>
        <v>#REF!</v>
      </c>
      <c r="E156" s="142" t="e">
        <f>PROPER(#REF!)</f>
        <v>#REF!</v>
      </c>
      <c r="F156" s="135" t="e">
        <f>VLOOKUP(Table1345[[#This Row],[R No.]],'sheet 1'!#REF!,7,FALSE)</f>
        <v>#REF!</v>
      </c>
      <c r="G156" s="135" t="e">
        <f>VLOOKUP(Table1345[[#This Row],[R No.]],'sheet 1'!#REF!,11,FALSE)</f>
        <v>#REF!</v>
      </c>
      <c r="H156" s="135" t="e">
        <f>VLOOKUP(Table1345[[#This Row],[R No.]],'sheet 1'!#REF!,15,FALSE)</f>
        <v>#REF!</v>
      </c>
      <c r="I156" s="135" t="e">
        <f>VLOOKUP(Table1345[[#This Row],[R No.]],'sheet 1'!#REF!,19,FALSE)</f>
        <v>#REF!</v>
      </c>
      <c r="J156" s="135" t="e">
        <f>VLOOKUP(Table1345[[#This Row],[R No.]],'sheet 1'!#REF!,23,FALSE)</f>
        <v>#REF!</v>
      </c>
      <c r="K156" s="136" t="e">
        <f>VLOOKUP(Table1345[[#This Row],[R No.]],'sheet 1'!#REF!,38,FALSE)</f>
        <v>#REF!</v>
      </c>
      <c r="L156" s="143" t="e">
        <f t="shared" si="28"/>
        <v>#REF!</v>
      </c>
      <c r="M156" s="141" t="e">
        <f t="shared" si="29"/>
        <v>#REF!</v>
      </c>
      <c r="N156" s="182" t="e">
        <f>VLOOKUP(Table1345[[#This Row],[R No.]],'sheet 1'!#REF!,41,FALSE)</f>
        <v>#REF!</v>
      </c>
      <c r="O156" s="138" t="e">
        <f t="shared" si="30"/>
        <v>#REF!</v>
      </c>
      <c r="Q156" s="123" t="e">
        <f t="shared" si="31"/>
        <v>#REF!</v>
      </c>
      <c r="R156" s="123" t="e">
        <f t="shared" si="32"/>
        <v>#REF!</v>
      </c>
      <c r="S156" s="123" t="e">
        <f t="shared" si="33"/>
        <v>#REF!</v>
      </c>
      <c r="T156" s="123" t="e">
        <f t="shared" si="34"/>
        <v>#REF!</v>
      </c>
      <c r="U156" s="123" t="e">
        <f t="shared" si="35"/>
        <v>#REF!</v>
      </c>
      <c r="V156" s="140" t="e">
        <f t="shared" si="36"/>
        <v>#REF!</v>
      </c>
    </row>
    <row r="157" spans="2:22" ht="18" x14ac:dyDescent="0.2">
      <c r="B157" s="141" t="e">
        <f>#REF!</f>
        <v>#REF!</v>
      </c>
      <c r="C157" s="141" t="e">
        <f>#REF!</f>
        <v>#REF!</v>
      </c>
      <c r="D157" s="142" t="e">
        <f>PROPER(#REF!)</f>
        <v>#REF!</v>
      </c>
      <c r="E157" s="142" t="e">
        <f>PROPER(#REF!)</f>
        <v>#REF!</v>
      </c>
      <c r="F157" s="135" t="e">
        <f>VLOOKUP(Table1345[[#This Row],[R No.]],'sheet 1'!#REF!,7,FALSE)</f>
        <v>#REF!</v>
      </c>
      <c r="G157" s="135" t="e">
        <f>VLOOKUP(Table1345[[#This Row],[R No.]],'sheet 1'!#REF!,11,FALSE)</f>
        <v>#REF!</v>
      </c>
      <c r="H157" s="135" t="e">
        <f>VLOOKUP(Table1345[[#This Row],[R No.]],'sheet 1'!#REF!,15,FALSE)</f>
        <v>#REF!</v>
      </c>
      <c r="I157" s="135" t="e">
        <f>VLOOKUP(Table1345[[#This Row],[R No.]],'sheet 1'!#REF!,19,FALSE)</f>
        <v>#REF!</v>
      </c>
      <c r="J157" s="135" t="e">
        <f>VLOOKUP(Table1345[[#This Row],[R No.]],'sheet 1'!#REF!,23,FALSE)</f>
        <v>#REF!</v>
      </c>
      <c r="K157" s="136" t="e">
        <f>VLOOKUP(Table1345[[#This Row],[R No.]],'sheet 1'!#REF!,38,FALSE)</f>
        <v>#REF!</v>
      </c>
      <c r="L157" s="143" t="e">
        <f t="shared" si="28"/>
        <v>#REF!</v>
      </c>
      <c r="M157" s="141" t="e">
        <f t="shared" si="29"/>
        <v>#REF!</v>
      </c>
      <c r="N157" s="182" t="e">
        <f>VLOOKUP(Table1345[[#This Row],[R No.]],'sheet 1'!#REF!,41,FALSE)</f>
        <v>#REF!</v>
      </c>
      <c r="O157" s="138" t="e">
        <f t="shared" si="30"/>
        <v>#REF!</v>
      </c>
      <c r="Q157" s="123" t="e">
        <f t="shared" si="31"/>
        <v>#REF!</v>
      </c>
      <c r="R157" s="123" t="e">
        <f t="shared" si="32"/>
        <v>#REF!</v>
      </c>
      <c r="S157" s="123" t="e">
        <f t="shared" si="33"/>
        <v>#REF!</v>
      </c>
      <c r="T157" s="123" t="e">
        <f t="shared" si="34"/>
        <v>#REF!</v>
      </c>
      <c r="U157" s="123" t="e">
        <f t="shared" si="35"/>
        <v>#REF!</v>
      </c>
      <c r="V157" s="140" t="e">
        <f t="shared" si="36"/>
        <v>#REF!</v>
      </c>
    </row>
    <row r="158" spans="2:22" ht="18" x14ac:dyDescent="0.2">
      <c r="B158" s="141" t="e">
        <f>#REF!</f>
        <v>#REF!</v>
      </c>
      <c r="C158" s="141" t="e">
        <f>#REF!</f>
        <v>#REF!</v>
      </c>
      <c r="D158" s="142" t="e">
        <f>PROPER(#REF!)</f>
        <v>#REF!</v>
      </c>
      <c r="E158" s="142" t="e">
        <f>PROPER(#REF!)</f>
        <v>#REF!</v>
      </c>
      <c r="F158" s="135" t="e">
        <f>VLOOKUP(Table1345[[#This Row],[R No.]],'sheet 1'!#REF!,7,FALSE)</f>
        <v>#REF!</v>
      </c>
      <c r="G158" s="135" t="e">
        <f>VLOOKUP(Table1345[[#This Row],[R No.]],'sheet 1'!#REF!,11,FALSE)</f>
        <v>#REF!</v>
      </c>
      <c r="H158" s="135" t="e">
        <f>VLOOKUP(Table1345[[#This Row],[R No.]],'sheet 1'!#REF!,15,FALSE)</f>
        <v>#REF!</v>
      </c>
      <c r="I158" s="135" t="e">
        <f>VLOOKUP(Table1345[[#This Row],[R No.]],'sheet 1'!#REF!,19,FALSE)</f>
        <v>#REF!</v>
      </c>
      <c r="J158" s="135" t="e">
        <f>VLOOKUP(Table1345[[#This Row],[R No.]],'sheet 1'!#REF!,23,FALSE)</f>
        <v>#REF!</v>
      </c>
      <c r="K158" s="136" t="e">
        <f>VLOOKUP(Table1345[[#This Row],[R No.]],'sheet 1'!#REF!,38,FALSE)</f>
        <v>#REF!</v>
      </c>
      <c r="L158" s="143" t="e">
        <f t="shared" si="28"/>
        <v>#REF!</v>
      </c>
      <c r="M158" s="141" t="e">
        <f t="shared" si="29"/>
        <v>#REF!</v>
      </c>
      <c r="N158" s="182" t="e">
        <f>VLOOKUP(Table1345[[#This Row],[R No.]],'sheet 1'!#REF!,41,FALSE)</f>
        <v>#REF!</v>
      </c>
      <c r="O158" s="138" t="e">
        <f t="shared" si="30"/>
        <v>#REF!</v>
      </c>
      <c r="Q158" s="123" t="e">
        <f t="shared" si="31"/>
        <v>#REF!</v>
      </c>
      <c r="R158" s="123" t="e">
        <f t="shared" si="32"/>
        <v>#REF!</v>
      </c>
      <c r="S158" s="123" t="e">
        <f t="shared" si="33"/>
        <v>#REF!</v>
      </c>
      <c r="T158" s="123" t="e">
        <f t="shared" si="34"/>
        <v>#REF!</v>
      </c>
      <c r="U158" s="123" t="e">
        <f t="shared" si="35"/>
        <v>#REF!</v>
      </c>
      <c r="V158" s="140" t="e">
        <f t="shared" si="36"/>
        <v>#REF!</v>
      </c>
    </row>
    <row r="159" spans="2:22" ht="18" x14ac:dyDescent="0.2">
      <c r="B159" s="141" t="e">
        <f>#REF!</f>
        <v>#REF!</v>
      </c>
      <c r="C159" s="141" t="e">
        <f>#REF!</f>
        <v>#REF!</v>
      </c>
      <c r="D159" s="142" t="e">
        <f>PROPER(#REF!)</f>
        <v>#REF!</v>
      </c>
      <c r="E159" s="142" t="e">
        <f>PROPER(#REF!)</f>
        <v>#REF!</v>
      </c>
      <c r="F159" s="135" t="e">
        <f>VLOOKUP(Table1345[[#This Row],[R No.]],'sheet 1'!#REF!,7,FALSE)</f>
        <v>#REF!</v>
      </c>
      <c r="G159" s="135" t="e">
        <f>VLOOKUP(Table1345[[#This Row],[R No.]],'sheet 1'!#REF!,11,FALSE)</f>
        <v>#REF!</v>
      </c>
      <c r="H159" s="135" t="e">
        <f>VLOOKUP(Table1345[[#This Row],[R No.]],'sheet 1'!#REF!,15,FALSE)</f>
        <v>#REF!</v>
      </c>
      <c r="I159" s="135" t="e">
        <f>VLOOKUP(Table1345[[#This Row],[R No.]],'sheet 1'!#REF!,19,FALSE)</f>
        <v>#REF!</v>
      </c>
      <c r="J159" s="135" t="e">
        <f>VLOOKUP(Table1345[[#This Row],[R No.]],'sheet 1'!#REF!,23,FALSE)</f>
        <v>#REF!</v>
      </c>
      <c r="K159" s="136" t="e">
        <f>VLOOKUP(Table1345[[#This Row],[R No.]],'sheet 1'!#REF!,38,FALSE)</f>
        <v>#REF!</v>
      </c>
      <c r="L159" s="143" t="e">
        <f t="shared" si="28"/>
        <v>#REF!</v>
      </c>
      <c r="M159" s="141" t="e">
        <f t="shared" si="29"/>
        <v>#REF!</v>
      </c>
      <c r="N159" s="182" t="e">
        <f>VLOOKUP(Table1345[[#This Row],[R No.]],'sheet 1'!#REF!,41,FALSE)</f>
        <v>#REF!</v>
      </c>
      <c r="O159" s="138" t="e">
        <f t="shared" si="30"/>
        <v>#REF!</v>
      </c>
      <c r="Q159" s="123" t="e">
        <f t="shared" si="31"/>
        <v>#REF!</v>
      </c>
      <c r="R159" s="123" t="e">
        <f t="shared" si="32"/>
        <v>#REF!</v>
      </c>
      <c r="S159" s="123" t="e">
        <f t="shared" si="33"/>
        <v>#REF!</v>
      </c>
      <c r="T159" s="123" t="e">
        <f t="shared" si="34"/>
        <v>#REF!</v>
      </c>
      <c r="U159" s="123" t="e">
        <f t="shared" si="35"/>
        <v>#REF!</v>
      </c>
      <c r="V159" s="140" t="e">
        <f t="shared" si="36"/>
        <v>#REF!</v>
      </c>
    </row>
    <row r="160" spans="2:22" ht="18" x14ac:dyDescent="0.2">
      <c r="B160" s="141" t="e">
        <f>#REF!</f>
        <v>#REF!</v>
      </c>
      <c r="C160" s="141" t="e">
        <f>#REF!</f>
        <v>#REF!</v>
      </c>
      <c r="D160" s="142" t="e">
        <f>PROPER(#REF!)</f>
        <v>#REF!</v>
      </c>
      <c r="E160" s="142" t="e">
        <f>PROPER(#REF!)</f>
        <v>#REF!</v>
      </c>
      <c r="F160" s="135" t="e">
        <f>VLOOKUP(Table1345[[#This Row],[R No.]],'sheet 1'!#REF!,7,FALSE)</f>
        <v>#REF!</v>
      </c>
      <c r="G160" s="135" t="e">
        <f>VLOOKUP(Table1345[[#This Row],[R No.]],'sheet 1'!#REF!,11,FALSE)</f>
        <v>#REF!</v>
      </c>
      <c r="H160" s="135" t="e">
        <f>VLOOKUP(Table1345[[#This Row],[R No.]],'sheet 1'!#REF!,15,FALSE)</f>
        <v>#REF!</v>
      </c>
      <c r="I160" s="135" t="e">
        <f>VLOOKUP(Table1345[[#This Row],[R No.]],'sheet 1'!#REF!,19,FALSE)</f>
        <v>#REF!</v>
      </c>
      <c r="J160" s="135" t="e">
        <f>VLOOKUP(Table1345[[#This Row],[R No.]],'sheet 1'!#REF!,23,FALSE)</f>
        <v>#REF!</v>
      </c>
      <c r="K160" s="136" t="e">
        <f>VLOOKUP(Table1345[[#This Row],[R No.]],'sheet 1'!#REF!,38,FALSE)</f>
        <v>#REF!</v>
      </c>
      <c r="L160" s="143" t="e">
        <f t="shared" si="28"/>
        <v>#REF!</v>
      </c>
      <c r="M160" s="141" t="e">
        <f t="shared" si="29"/>
        <v>#REF!</v>
      </c>
      <c r="N160" s="182" t="e">
        <f>VLOOKUP(Table1345[[#This Row],[R No.]],'sheet 1'!#REF!,41,FALSE)</f>
        <v>#REF!</v>
      </c>
      <c r="O160" s="138" t="e">
        <f t="shared" si="30"/>
        <v>#REF!</v>
      </c>
      <c r="Q160" s="123" t="e">
        <f t="shared" si="31"/>
        <v>#REF!</v>
      </c>
      <c r="R160" s="123" t="e">
        <f t="shared" si="32"/>
        <v>#REF!</v>
      </c>
      <c r="S160" s="123" t="e">
        <f t="shared" si="33"/>
        <v>#REF!</v>
      </c>
      <c r="T160" s="123" t="e">
        <f t="shared" si="34"/>
        <v>#REF!</v>
      </c>
      <c r="U160" s="123" t="e">
        <f t="shared" si="35"/>
        <v>#REF!</v>
      </c>
      <c r="V160" s="140" t="e">
        <f t="shared" si="36"/>
        <v>#REF!</v>
      </c>
    </row>
    <row r="166" spans="2:12" ht="15" x14ac:dyDescent="0.2">
      <c r="B166" s="145" t="s">
        <v>17</v>
      </c>
      <c r="K166" s="145" t="s">
        <v>19</v>
      </c>
      <c r="L166" s="146"/>
    </row>
    <row r="167" spans="2:12" ht="15" x14ac:dyDescent="0.2">
      <c r="B167" s="145" t="s">
        <v>18</v>
      </c>
      <c r="K167" s="145" t="s">
        <v>18</v>
      </c>
      <c r="L167" s="146"/>
    </row>
  </sheetData>
  <mergeCells count="4">
    <mergeCell ref="L5:M5"/>
    <mergeCell ref="B8:O8"/>
    <mergeCell ref="B2:N2"/>
    <mergeCell ref="B3:N3"/>
  </mergeCells>
  <conditionalFormatting sqref="F10:M160">
    <cfRule type="containsText" dxfId="11" priority="3" operator="containsText" text="F">
      <formula>NOT(ISERROR(SEARCH("F",F10)))</formula>
    </cfRule>
  </conditionalFormatting>
  <conditionalFormatting sqref="N10:N160">
    <cfRule type="containsText" dxfId="10" priority="1" operator="containsText" text="F">
      <formula>NOT(ISERROR(SEARCH("F",N10)))</formula>
    </cfRule>
  </conditionalFormatting>
  <printOptions horizontalCentered="1"/>
  <pageMargins left="0.19685039370078741" right="0.19685039370078741" top="0.19685039370078741" bottom="0.15748031496062992" header="0.31496062992125984" footer="0.15748031496062992"/>
  <pageSetup paperSize="9" scale="75" orientation="portrait" r:id="rId1"/>
  <drawing r:id="rId2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zoomScale="115" zoomScaleNormal="115" workbookViewId="0">
      <selection activeCell="V10" sqref="V10:V160"/>
    </sheetView>
  </sheetViews>
  <sheetFormatPr defaultRowHeight="14.25" x14ac:dyDescent="0.2"/>
  <cols>
    <col min="1" max="1" width="14.42578125" style="173" customWidth="1"/>
    <col min="2" max="2" width="28" style="173" customWidth="1"/>
    <col min="3" max="3" width="14.5703125" style="173" customWidth="1"/>
    <col min="4" max="4" width="6" style="173" customWidth="1"/>
    <col min="5" max="5" width="7.28515625" style="173" customWidth="1"/>
    <col min="6" max="6" width="9.5703125" style="173" customWidth="1"/>
    <col min="7" max="7" width="6.28515625" style="173" customWidth="1"/>
    <col min="8" max="8" width="6.5703125" style="173" bestFit="1" customWidth="1"/>
    <col min="9" max="9" width="8" style="173" customWidth="1"/>
    <col min="10" max="10" width="11.42578125" style="173" customWidth="1"/>
    <col min="11" max="256" width="9" style="173"/>
    <col min="257" max="257" width="10.28515625" style="173" customWidth="1"/>
    <col min="258" max="258" width="24.5703125" style="173" customWidth="1"/>
    <col min="259" max="259" width="14.5703125" style="173" customWidth="1"/>
    <col min="260" max="260" width="6" style="173" customWidth="1"/>
    <col min="261" max="261" width="7.28515625" style="173" customWidth="1"/>
    <col min="262" max="262" width="7.42578125" style="173" customWidth="1"/>
    <col min="263" max="263" width="6.28515625" style="173" customWidth="1"/>
    <col min="264" max="264" width="5.5703125" style="173" bestFit="1" customWidth="1"/>
    <col min="265" max="265" width="9.5703125" style="173" customWidth="1"/>
    <col min="266" max="266" width="11.42578125" style="173" customWidth="1"/>
    <col min="267" max="512" width="9" style="173"/>
    <col min="513" max="513" width="10.28515625" style="173" customWidth="1"/>
    <col min="514" max="514" width="24.5703125" style="173" customWidth="1"/>
    <col min="515" max="515" width="14.5703125" style="173" customWidth="1"/>
    <col min="516" max="516" width="6" style="173" customWidth="1"/>
    <col min="517" max="517" width="7.28515625" style="173" customWidth="1"/>
    <col min="518" max="518" width="7.42578125" style="173" customWidth="1"/>
    <col min="519" max="519" width="6.28515625" style="173" customWidth="1"/>
    <col min="520" max="520" width="5.5703125" style="173" bestFit="1" customWidth="1"/>
    <col min="521" max="521" width="9.5703125" style="173" customWidth="1"/>
    <col min="522" max="522" width="11.42578125" style="173" customWidth="1"/>
    <col min="523" max="768" width="9" style="173"/>
    <col min="769" max="769" width="10.28515625" style="173" customWidth="1"/>
    <col min="770" max="770" width="24.5703125" style="173" customWidth="1"/>
    <col min="771" max="771" width="14.5703125" style="173" customWidth="1"/>
    <col min="772" max="772" width="6" style="173" customWidth="1"/>
    <col min="773" max="773" width="7.28515625" style="173" customWidth="1"/>
    <col min="774" max="774" width="7.42578125" style="173" customWidth="1"/>
    <col min="775" max="775" width="6.28515625" style="173" customWidth="1"/>
    <col min="776" max="776" width="5.5703125" style="173" bestFit="1" customWidth="1"/>
    <col min="777" max="777" width="9.5703125" style="173" customWidth="1"/>
    <col min="778" max="778" width="11.42578125" style="173" customWidth="1"/>
    <col min="779" max="1024" width="9" style="173"/>
    <col min="1025" max="1025" width="10.28515625" style="173" customWidth="1"/>
    <col min="1026" max="1026" width="24.5703125" style="173" customWidth="1"/>
    <col min="1027" max="1027" width="14.5703125" style="173" customWidth="1"/>
    <col min="1028" max="1028" width="6" style="173" customWidth="1"/>
    <col min="1029" max="1029" width="7.28515625" style="173" customWidth="1"/>
    <col min="1030" max="1030" width="7.42578125" style="173" customWidth="1"/>
    <col min="1031" max="1031" width="6.28515625" style="173" customWidth="1"/>
    <col min="1032" max="1032" width="5.5703125" style="173" bestFit="1" customWidth="1"/>
    <col min="1033" max="1033" width="9.5703125" style="173" customWidth="1"/>
    <col min="1034" max="1034" width="11.42578125" style="173" customWidth="1"/>
    <col min="1035" max="1280" width="9" style="173"/>
    <col min="1281" max="1281" width="10.28515625" style="173" customWidth="1"/>
    <col min="1282" max="1282" width="24.5703125" style="173" customWidth="1"/>
    <col min="1283" max="1283" width="14.5703125" style="173" customWidth="1"/>
    <col min="1284" max="1284" width="6" style="173" customWidth="1"/>
    <col min="1285" max="1285" width="7.28515625" style="173" customWidth="1"/>
    <col min="1286" max="1286" width="7.42578125" style="173" customWidth="1"/>
    <col min="1287" max="1287" width="6.28515625" style="173" customWidth="1"/>
    <col min="1288" max="1288" width="5.5703125" style="173" bestFit="1" customWidth="1"/>
    <col min="1289" max="1289" width="9.5703125" style="173" customWidth="1"/>
    <col min="1290" max="1290" width="11.42578125" style="173" customWidth="1"/>
    <col min="1291" max="1536" width="9" style="173"/>
    <col min="1537" max="1537" width="10.28515625" style="173" customWidth="1"/>
    <col min="1538" max="1538" width="24.5703125" style="173" customWidth="1"/>
    <col min="1539" max="1539" width="14.5703125" style="173" customWidth="1"/>
    <col min="1540" max="1540" width="6" style="173" customWidth="1"/>
    <col min="1541" max="1541" width="7.28515625" style="173" customWidth="1"/>
    <col min="1542" max="1542" width="7.42578125" style="173" customWidth="1"/>
    <col min="1543" max="1543" width="6.28515625" style="173" customWidth="1"/>
    <col min="1544" max="1544" width="5.5703125" style="173" bestFit="1" customWidth="1"/>
    <col min="1545" max="1545" width="9.5703125" style="173" customWidth="1"/>
    <col min="1546" max="1546" width="11.42578125" style="173" customWidth="1"/>
    <col min="1547" max="1792" width="9" style="173"/>
    <col min="1793" max="1793" width="10.28515625" style="173" customWidth="1"/>
    <col min="1794" max="1794" width="24.5703125" style="173" customWidth="1"/>
    <col min="1795" max="1795" width="14.5703125" style="173" customWidth="1"/>
    <col min="1796" max="1796" width="6" style="173" customWidth="1"/>
    <col min="1797" max="1797" width="7.28515625" style="173" customWidth="1"/>
    <col min="1798" max="1798" width="7.42578125" style="173" customWidth="1"/>
    <col min="1799" max="1799" width="6.28515625" style="173" customWidth="1"/>
    <col min="1800" max="1800" width="5.5703125" style="173" bestFit="1" customWidth="1"/>
    <col min="1801" max="1801" width="9.5703125" style="173" customWidth="1"/>
    <col min="1802" max="1802" width="11.42578125" style="173" customWidth="1"/>
    <col min="1803" max="2048" width="9" style="173"/>
    <col min="2049" max="2049" width="10.28515625" style="173" customWidth="1"/>
    <col min="2050" max="2050" width="24.5703125" style="173" customWidth="1"/>
    <col min="2051" max="2051" width="14.5703125" style="173" customWidth="1"/>
    <col min="2052" max="2052" width="6" style="173" customWidth="1"/>
    <col min="2053" max="2053" width="7.28515625" style="173" customWidth="1"/>
    <col min="2054" max="2054" width="7.42578125" style="173" customWidth="1"/>
    <col min="2055" max="2055" width="6.28515625" style="173" customWidth="1"/>
    <col min="2056" max="2056" width="5.5703125" style="173" bestFit="1" customWidth="1"/>
    <col min="2057" max="2057" width="9.5703125" style="173" customWidth="1"/>
    <col min="2058" max="2058" width="11.42578125" style="173" customWidth="1"/>
    <col min="2059" max="2304" width="9" style="173"/>
    <col min="2305" max="2305" width="10.28515625" style="173" customWidth="1"/>
    <col min="2306" max="2306" width="24.5703125" style="173" customWidth="1"/>
    <col min="2307" max="2307" width="14.5703125" style="173" customWidth="1"/>
    <col min="2308" max="2308" width="6" style="173" customWidth="1"/>
    <col min="2309" max="2309" width="7.28515625" style="173" customWidth="1"/>
    <col min="2310" max="2310" width="7.42578125" style="173" customWidth="1"/>
    <col min="2311" max="2311" width="6.28515625" style="173" customWidth="1"/>
    <col min="2312" max="2312" width="5.5703125" style="173" bestFit="1" customWidth="1"/>
    <col min="2313" max="2313" width="9.5703125" style="173" customWidth="1"/>
    <col min="2314" max="2314" width="11.42578125" style="173" customWidth="1"/>
    <col min="2315" max="2560" width="9" style="173"/>
    <col min="2561" max="2561" width="10.28515625" style="173" customWidth="1"/>
    <col min="2562" max="2562" width="24.5703125" style="173" customWidth="1"/>
    <col min="2563" max="2563" width="14.5703125" style="173" customWidth="1"/>
    <col min="2564" max="2564" width="6" style="173" customWidth="1"/>
    <col min="2565" max="2565" width="7.28515625" style="173" customWidth="1"/>
    <col min="2566" max="2566" width="7.42578125" style="173" customWidth="1"/>
    <col min="2567" max="2567" width="6.28515625" style="173" customWidth="1"/>
    <col min="2568" max="2568" width="5.5703125" style="173" bestFit="1" customWidth="1"/>
    <col min="2569" max="2569" width="9.5703125" style="173" customWidth="1"/>
    <col min="2570" max="2570" width="11.42578125" style="173" customWidth="1"/>
    <col min="2571" max="2816" width="9" style="173"/>
    <col min="2817" max="2817" width="10.28515625" style="173" customWidth="1"/>
    <col min="2818" max="2818" width="24.5703125" style="173" customWidth="1"/>
    <col min="2819" max="2819" width="14.5703125" style="173" customWidth="1"/>
    <col min="2820" max="2820" width="6" style="173" customWidth="1"/>
    <col min="2821" max="2821" width="7.28515625" style="173" customWidth="1"/>
    <col min="2822" max="2822" width="7.42578125" style="173" customWidth="1"/>
    <col min="2823" max="2823" width="6.28515625" style="173" customWidth="1"/>
    <col min="2824" max="2824" width="5.5703125" style="173" bestFit="1" customWidth="1"/>
    <col min="2825" max="2825" width="9.5703125" style="173" customWidth="1"/>
    <col min="2826" max="2826" width="11.42578125" style="173" customWidth="1"/>
    <col min="2827" max="3072" width="9" style="173"/>
    <col min="3073" max="3073" width="10.28515625" style="173" customWidth="1"/>
    <col min="3074" max="3074" width="24.5703125" style="173" customWidth="1"/>
    <col min="3075" max="3075" width="14.5703125" style="173" customWidth="1"/>
    <col min="3076" max="3076" width="6" style="173" customWidth="1"/>
    <col min="3077" max="3077" width="7.28515625" style="173" customWidth="1"/>
    <col min="3078" max="3078" width="7.42578125" style="173" customWidth="1"/>
    <col min="3079" max="3079" width="6.28515625" style="173" customWidth="1"/>
    <col min="3080" max="3080" width="5.5703125" style="173" bestFit="1" customWidth="1"/>
    <col min="3081" max="3081" width="9.5703125" style="173" customWidth="1"/>
    <col min="3082" max="3082" width="11.42578125" style="173" customWidth="1"/>
    <col min="3083" max="3328" width="9" style="173"/>
    <col min="3329" max="3329" width="10.28515625" style="173" customWidth="1"/>
    <col min="3330" max="3330" width="24.5703125" style="173" customWidth="1"/>
    <col min="3331" max="3331" width="14.5703125" style="173" customWidth="1"/>
    <col min="3332" max="3332" width="6" style="173" customWidth="1"/>
    <col min="3333" max="3333" width="7.28515625" style="173" customWidth="1"/>
    <col min="3334" max="3334" width="7.42578125" style="173" customWidth="1"/>
    <col min="3335" max="3335" width="6.28515625" style="173" customWidth="1"/>
    <col min="3336" max="3336" width="5.5703125" style="173" bestFit="1" customWidth="1"/>
    <col min="3337" max="3337" width="9.5703125" style="173" customWidth="1"/>
    <col min="3338" max="3338" width="11.42578125" style="173" customWidth="1"/>
    <col min="3339" max="3584" width="9" style="173"/>
    <col min="3585" max="3585" width="10.28515625" style="173" customWidth="1"/>
    <col min="3586" max="3586" width="24.5703125" style="173" customWidth="1"/>
    <col min="3587" max="3587" width="14.5703125" style="173" customWidth="1"/>
    <col min="3588" max="3588" width="6" style="173" customWidth="1"/>
    <col min="3589" max="3589" width="7.28515625" style="173" customWidth="1"/>
    <col min="3590" max="3590" width="7.42578125" style="173" customWidth="1"/>
    <col min="3591" max="3591" width="6.28515625" style="173" customWidth="1"/>
    <col min="3592" max="3592" width="5.5703125" style="173" bestFit="1" customWidth="1"/>
    <col min="3593" max="3593" width="9.5703125" style="173" customWidth="1"/>
    <col min="3594" max="3594" width="11.42578125" style="173" customWidth="1"/>
    <col min="3595" max="3840" width="9" style="173"/>
    <col min="3841" max="3841" width="10.28515625" style="173" customWidth="1"/>
    <col min="3842" max="3842" width="24.5703125" style="173" customWidth="1"/>
    <col min="3843" max="3843" width="14.5703125" style="173" customWidth="1"/>
    <col min="3844" max="3844" width="6" style="173" customWidth="1"/>
    <col min="3845" max="3845" width="7.28515625" style="173" customWidth="1"/>
    <col min="3846" max="3846" width="7.42578125" style="173" customWidth="1"/>
    <col min="3847" max="3847" width="6.28515625" style="173" customWidth="1"/>
    <col min="3848" max="3848" width="5.5703125" style="173" bestFit="1" customWidth="1"/>
    <col min="3849" max="3849" width="9.5703125" style="173" customWidth="1"/>
    <col min="3850" max="3850" width="11.42578125" style="173" customWidth="1"/>
    <col min="3851" max="4096" width="9" style="173"/>
    <col min="4097" max="4097" width="10.28515625" style="173" customWidth="1"/>
    <col min="4098" max="4098" width="24.5703125" style="173" customWidth="1"/>
    <col min="4099" max="4099" width="14.5703125" style="173" customWidth="1"/>
    <col min="4100" max="4100" width="6" style="173" customWidth="1"/>
    <col min="4101" max="4101" width="7.28515625" style="173" customWidth="1"/>
    <col min="4102" max="4102" width="7.42578125" style="173" customWidth="1"/>
    <col min="4103" max="4103" width="6.28515625" style="173" customWidth="1"/>
    <col min="4104" max="4104" width="5.5703125" style="173" bestFit="1" customWidth="1"/>
    <col min="4105" max="4105" width="9.5703125" style="173" customWidth="1"/>
    <col min="4106" max="4106" width="11.42578125" style="173" customWidth="1"/>
    <col min="4107" max="4352" width="9" style="173"/>
    <col min="4353" max="4353" width="10.28515625" style="173" customWidth="1"/>
    <col min="4354" max="4354" width="24.5703125" style="173" customWidth="1"/>
    <col min="4355" max="4355" width="14.5703125" style="173" customWidth="1"/>
    <col min="4356" max="4356" width="6" style="173" customWidth="1"/>
    <col min="4357" max="4357" width="7.28515625" style="173" customWidth="1"/>
    <col min="4358" max="4358" width="7.42578125" style="173" customWidth="1"/>
    <col min="4359" max="4359" width="6.28515625" style="173" customWidth="1"/>
    <col min="4360" max="4360" width="5.5703125" style="173" bestFit="1" customWidth="1"/>
    <col min="4361" max="4361" width="9.5703125" style="173" customWidth="1"/>
    <col min="4362" max="4362" width="11.42578125" style="173" customWidth="1"/>
    <col min="4363" max="4608" width="9" style="173"/>
    <col min="4609" max="4609" width="10.28515625" style="173" customWidth="1"/>
    <col min="4610" max="4610" width="24.5703125" style="173" customWidth="1"/>
    <col min="4611" max="4611" width="14.5703125" style="173" customWidth="1"/>
    <col min="4612" max="4612" width="6" style="173" customWidth="1"/>
    <col min="4613" max="4613" width="7.28515625" style="173" customWidth="1"/>
    <col min="4614" max="4614" width="7.42578125" style="173" customWidth="1"/>
    <col min="4615" max="4615" width="6.28515625" style="173" customWidth="1"/>
    <col min="4616" max="4616" width="5.5703125" style="173" bestFit="1" customWidth="1"/>
    <col min="4617" max="4617" width="9.5703125" style="173" customWidth="1"/>
    <col min="4618" max="4618" width="11.42578125" style="173" customWidth="1"/>
    <col min="4619" max="4864" width="9" style="173"/>
    <col min="4865" max="4865" width="10.28515625" style="173" customWidth="1"/>
    <col min="4866" max="4866" width="24.5703125" style="173" customWidth="1"/>
    <col min="4867" max="4867" width="14.5703125" style="173" customWidth="1"/>
    <col min="4868" max="4868" width="6" style="173" customWidth="1"/>
    <col min="4869" max="4869" width="7.28515625" style="173" customWidth="1"/>
    <col min="4870" max="4870" width="7.42578125" style="173" customWidth="1"/>
    <col min="4871" max="4871" width="6.28515625" style="173" customWidth="1"/>
    <col min="4872" max="4872" width="5.5703125" style="173" bestFit="1" customWidth="1"/>
    <col min="4873" max="4873" width="9.5703125" style="173" customWidth="1"/>
    <col min="4874" max="4874" width="11.42578125" style="173" customWidth="1"/>
    <col min="4875" max="5120" width="9" style="173"/>
    <col min="5121" max="5121" width="10.28515625" style="173" customWidth="1"/>
    <col min="5122" max="5122" width="24.5703125" style="173" customWidth="1"/>
    <col min="5123" max="5123" width="14.5703125" style="173" customWidth="1"/>
    <col min="5124" max="5124" width="6" style="173" customWidth="1"/>
    <col min="5125" max="5125" width="7.28515625" style="173" customWidth="1"/>
    <col min="5126" max="5126" width="7.42578125" style="173" customWidth="1"/>
    <col min="5127" max="5127" width="6.28515625" style="173" customWidth="1"/>
    <col min="5128" max="5128" width="5.5703125" style="173" bestFit="1" customWidth="1"/>
    <col min="5129" max="5129" width="9.5703125" style="173" customWidth="1"/>
    <col min="5130" max="5130" width="11.42578125" style="173" customWidth="1"/>
    <col min="5131" max="5376" width="9" style="173"/>
    <col min="5377" max="5377" width="10.28515625" style="173" customWidth="1"/>
    <col min="5378" max="5378" width="24.5703125" style="173" customWidth="1"/>
    <col min="5379" max="5379" width="14.5703125" style="173" customWidth="1"/>
    <col min="5380" max="5380" width="6" style="173" customWidth="1"/>
    <col min="5381" max="5381" width="7.28515625" style="173" customWidth="1"/>
    <col min="5382" max="5382" width="7.42578125" style="173" customWidth="1"/>
    <col min="5383" max="5383" width="6.28515625" style="173" customWidth="1"/>
    <col min="5384" max="5384" width="5.5703125" style="173" bestFit="1" customWidth="1"/>
    <col min="5385" max="5385" width="9.5703125" style="173" customWidth="1"/>
    <col min="5386" max="5386" width="11.42578125" style="173" customWidth="1"/>
    <col min="5387" max="5632" width="9" style="173"/>
    <col min="5633" max="5633" width="10.28515625" style="173" customWidth="1"/>
    <col min="5634" max="5634" width="24.5703125" style="173" customWidth="1"/>
    <col min="5635" max="5635" width="14.5703125" style="173" customWidth="1"/>
    <col min="5636" max="5636" width="6" style="173" customWidth="1"/>
    <col min="5637" max="5637" width="7.28515625" style="173" customWidth="1"/>
    <col min="5638" max="5638" width="7.42578125" style="173" customWidth="1"/>
    <col min="5639" max="5639" width="6.28515625" style="173" customWidth="1"/>
    <col min="5640" max="5640" width="5.5703125" style="173" bestFit="1" customWidth="1"/>
    <col min="5641" max="5641" width="9.5703125" style="173" customWidth="1"/>
    <col min="5642" max="5642" width="11.42578125" style="173" customWidth="1"/>
    <col min="5643" max="5888" width="9" style="173"/>
    <col min="5889" max="5889" width="10.28515625" style="173" customWidth="1"/>
    <col min="5890" max="5890" width="24.5703125" style="173" customWidth="1"/>
    <col min="5891" max="5891" width="14.5703125" style="173" customWidth="1"/>
    <col min="5892" max="5892" width="6" style="173" customWidth="1"/>
    <col min="5893" max="5893" width="7.28515625" style="173" customWidth="1"/>
    <col min="5894" max="5894" width="7.42578125" style="173" customWidth="1"/>
    <col min="5895" max="5895" width="6.28515625" style="173" customWidth="1"/>
    <col min="5896" max="5896" width="5.5703125" style="173" bestFit="1" customWidth="1"/>
    <col min="5897" max="5897" width="9.5703125" style="173" customWidth="1"/>
    <col min="5898" max="5898" width="11.42578125" style="173" customWidth="1"/>
    <col min="5899" max="6144" width="9" style="173"/>
    <col min="6145" max="6145" width="10.28515625" style="173" customWidth="1"/>
    <col min="6146" max="6146" width="24.5703125" style="173" customWidth="1"/>
    <col min="6147" max="6147" width="14.5703125" style="173" customWidth="1"/>
    <col min="6148" max="6148" width="6" style="173" customWidth="1"/>
    <col min="6149" max="6149" width="7.28515625" style="173" customWidth="1"/>
    <col min="6150" max="6150" width="7.42578125" style="173" customWidth="1"/>
    <col min="6151" max="6151" width="6.28515625" style="173" customWidth="1"/>
    <col min="6152" max="6152" width="5.5703125" style="173" bestFit="1" customWidth="1"/>
    <col min="6153" max="6153" width="9.5703125" style="173" customWidth="1"/>
    <col min="6154" max="6154" width="11.42578125" style="173" customWidth="1"/>
    <col min="6155" max="6400" width="9" style="173"/>
    <col min="6401" max="6401" width="10.28515625" style="173" customWidth="1"/>
    <col min="6402" max="6402" width="24.5703125" style="173" customWidth="1"/>
    <col min="6403" max="6403" width="14.5703125" style="173" customWidth="1"/>
    <col min="6404" max="6404" width="6" style="173" customWidth="1"/>
    <col min="6405" max="6405" width="7.28515625" style="173" customWidth="1"/>
    <col min="6406" max="6406" width="7.42578125" style="173" customWidth="1"/>
    <col min="6407" max="6407" width="6.28515625" style="173" customWidth="1"/>
    <col min="6408" max="6408" width="5.5703125" style="173" bestFit="1" customWidth="1"/>
    <col min="6409" max="6409" width="9.5703125" style="173" customWidth="1"/>
    <col min="6410" max="6410" width="11.42578125" style="173" customWidth="1"/>
    <col min="6411" max="6656" width="9" style="173"/>
    <col min="6657" max="6657" width="10.28515625" style="173" customWidth="1"/>
    <col min="6658" max="6658" width="24.5703125" style="173" customWidth="1"/>
    <col min="6659" max="6659" width="14.5703125" style="173" customWidth="1"/>
    <col min="6660" max="6660" width="6" style="173" customWidth="1"/>
    <col min="6661" max="6661" width="7.28515625" style="173" customWidth="1"/>
    <col min="6662" max="6662" width="7.42578125" style="173" customWidth="1"/>
    <col min="6663" max="6663" width="6.28515625" style="173" customWidth="1"/>
    <col min="6664" max="6664" width="5.5703125" style="173" bestFit="1" customWidth="1"/>
    <col min="6665" max="6665" width="9.5703125" style="173" customWidth="1"/>
    <col min="6666" max="6666" width="11.42578125" style="173" customWidth="1"/>
    <col min="6667" max="6912" width="9" style="173"/>
    <col min="6913" max="6913" width="10.28515625" style="173" customWidth="1"/>
    <col min="6914" max="6914" width="24.5703125" style="173" customWidth="1"/>
    <col min="6915" max="6915" width="14.5703125" style="173" customWidth="1"/>
    <col min="6916" max="6916" width="6" style="173" customWidth="1"/>
    <col min="6917" max="6917" width="7.28515625" style="173" customWidth="1"/>
    <col min="6918" max="6918" width="7.42578125" style="173" customWidth="1"/>
    <col min="6919" max="6919" width="6.28515625" style="173" customWidth="1"/>
    <col min="6920" max="6920" width="5.5703125" style="173" bestFit="1" customWidth="1"/>
    <col min="6921" max="6921" width="9.5703125" style="173" customWidth="1"/>
    <col min="6922" max="6922" width="11.42578125" style="173" customWidth="1"/>
    <col min="6923" max="7168" width="9" style="173"/>
    <col min="7169" max="7169" width="10.28515625" style="173" customWidth="1"/>
    <col min="7170" max="7170" width="24.5703125" style="173" customWidth="1"/>
    <col min="7171" max="7171" width="14.5703125" style="173" customWidth="1"/>
    <col min="7172" max="7172" width="6" style="173" customWidth="1"/>
    <col min="7173" max="7173" width="7.28515625" style="173" customWidth="1"/>
    <col min="7174" max="7174" width="7.42578125" style="173" customWidth="1"/>
    <col min="7175" max="7175" width="6.28515625" style="173" customWidth="1"/>
    <col min="7176" max="7176" width="5.5703125" style="173" bestFit="1" customWidth="1"/>
    <col min="7177" max="7177" width="9.5703125" style="173" customWidth="1"/>
    <col min="7178" max="7178" width="11.42578125" style="173" customWidth="1"/>
    <col min="7179" max="7424" width="9" style="173"/>
    <col min="7425" max="7425" width="10.28515625" style="173" customWidth="1"/>
    <col min="7426" max="7426" width="24.5703125" style="173" customWidth="1"/>
    <col min="7427" max="7427" width="14.5703125" style="173" customWidth="1"/>
    <col min="7428" max="7428" width="6" style="173" customWidth="1"/>
    <col min="7429" max="7429" width="7.28515625" style="173" customWidth="1"/>
    <col min="7430" max="7430" width="7.42578125" style="173" customWidth="1"/>
    <col min="7431" max="7431" width="6.28515625" style="173" customWidth="1"/>
    <col min="7432" max="7432" width="5.5703125" style="173" bestFit="1" customWidth="1"/>
    <col min="7433" max="7433" width="9.5703125" style="173" customWidth="1"/>
    <col min="7434" max="7434" width="11.42578125" style="173" customWidth="1"/>
    <col min="7435" max="7680" width="9" style="173"/>
    <col min="7681" max="7681" width="10.28515625" style="173" customWidth="1"/>
    <col min="7682" max="7682" width="24.5703125" style="173" customWidth="1"/>
    <col min="7683" max="7683" width="14.5703125" style="173" customWidth="1"/>
    <col min="7684" max="7684" width="6" style="173" customWidth="1"/>
    <col min="7685" max="7685" width="7.28515625" style="173" customWidth="1"/>
    <col min="7686" max="7686" width="7.42578125" style="173" customWidth="1"/>
    <col min="7687" max="7687" width="6.28515625" style="173" customWidth="1"/>
    <col min="7688" max="7688" width="5.5703125" style="173" bestFit="1" customWidth="1"/>
    <col min="7689" max="7689" width="9.5703125" style="173" customWidth="1"/>
    <col min="7690" max="7690" width="11.42578125" style="173" customWidth="1"/>
    <col min="7691" max="7936" width="9" style="173"/>
    <col min="7937" max="7937" width="10.28515625" style="173" customWidth="1"/>
    <col min="7938" max="7938" width="24.5703125" style="173" customWidth="1"/>
    <col min="7939" max="7939" width="14.5703125" style="173" customWidth="1"/>
    <col min="7940" max="7940" width="6" style="173" customWidth="1"/>
    <col min="7941" max="7941" width="7.28515625" style="173" customWidth="1"/>
    <col min="7942" max="7942" width="7.42578125" style="173" customWidth="1"/>
    <col min="7943" max="7943" width="6.28515625" style="173" customWidth="1"/>
    <col min="7944" max="7944" width="5.5703125" style="173" bestFit="1" customWidth="1"/>
    <col min="7945" max="7945" width="9.5703125" style="173" customWidth="1"/>
    <col min="7946" max="7946" width="11.42578125" style="173" customWidth="1"/>
    <col min="7947" max="8192" width="9" style="173"/>
    <col min="8193" max="8193" width="10.28515625" style="173" customWidth="1"/>
    <col min="8194" max="8194" width="24.5703125" style="173" customWidth="1"/>
    <col min="8195" max="8195" width="14.5703125" style="173" customWidth="1"/>
    <col min="8196" max="8196" width="6" style="173" customWidth="1"/>
    <col min="8197" max="8197" width="7.28515625" style="173" customWidth="1"/>
    <col min="8198" max="8198" width="7.42578125" style="173" customWidth="1"/>
    <col min="8199" max="8199" width="6.28515625" style="173" customWidth="1"/>
    <col min="8200" max="8200" width="5.5703125" style="173" bestFit="1" customWidth="1"/>
    <col min="8201" max="8201" width="9.5703125" style="173" customWidth="1"/>
    <col min="8202" max="8202" width="11.42578125" style="173" customWidth="1"/>
    <col min="8203" max="8448" width="9" style="173"/>
    <col min="8449" max="8449" width="10.28515625" style="173" customWidth="1"/>
    <col min="8450" max="8450" width="24.5703125" style="173" customWidth="1"/>
    <col min="8451" max="8451" width="14.5703125" style="173" customWidth="1"/>
    <col min="8452" max="8452" width="6" style="173" customWidth="1"/>
    <col min="8453" max="8453" width="7.28515625" style="173" customWidth="1"/>
    <col min="8454" max="8454" width="7.42578125" style="173" customWidth="1"/>
    <col min="8455" max="8455" width="6.28515625" style="173" customWidth="1"/>
    <col min="8456" max="8456" width="5.5703125" style="173" bestFit="1" customWidth="1"/>
    <col min="8457" max="8457" width="9.5703125" style="173" customWidth="1"/>
    <col min="8458" max="8458" width="11.42578125" style="173" customWidth="1"/>
    <col min="8459" max="8704" width="9" style="173"/>
    <col min="8705" max="8705" width="10.28515625" style="173" customWidth="1"/>
    <col min="8706" max="8706" width="24.5703125" style="173" customWidth="1"/>
    <col min="8707" max="8707" width="14.5703125" style="173" customWidth="1"/>
    <col min="8708" max="8708" width="6" style="173" customWidth="1"/>
    <col min="8709" max="8709" width="7.28515625" style="173" customWidth="1"/>
    <col min="8710" max="8710" width="7.42578125" style="173" customWidth="1"/>
    <col min="8711" max="8711" width="6.28515625" style="173" customWidth="1"/>
    <col min="8712" max="8712" width="5.5703125" style="173" bestFit="1" customWidth="1"/>
    <col min="8713" max="8713" width="9.5703125" style="173" customWidth="1"/>
    <col min="8714" max="8714" width="11.42578125" style="173" customWidth="1"/>
    <col min="8715" max="8960" width="9" style="173"/>
    <col min="8961" max="8961" width="10.28515625" style="173" customWidth="1"/>
    <col min="8962" max="8962" width="24.5703125" style="173" customWidth="1"/>
    <col min="8963" max="8963" width="14.5703125" style="173" customWidth="1"/>
    <col min="8964" max="8964" width="6" style="173" customWidth="1"/>
    <col min="8965" max="8965" width="7.28515625" style="173" customWidth="1"/>
    <col min="8966" max="8966" width="7.42578125" style="173" customWidth="1"/>
    <col min="8967" max="8967" width="6.28515625" style="173" customWidth="1"/>
    <col min="8968" max="8968" width="5.5703125" style="173" bestFit="1" customWidth="1"/>
    <col min="8969" max="8969" width="9.5703125" style="173" customWidth="1"/>
    <col min="8970" max="8970" width="11.42578125" style="173" customWidth="1"/>
    <col min="8971" max="9216" width="9" style="173"/>
    <col min="9217" max="9217" width="10.28515625" style="173" customWidth="1"/>
    <col min="9218" max="9218" width="24.5703125" style="173" customWidth="1"/>
    <col min="9219" max="9219" width="14.5703125" style="173" customWidth="1"/>
    <col min="9220" max="9220" width="6" style="173" customWidth="1"/>
    <col min="9221" max="9221" width="7.28515625" style="173" customWidth="1"/>
    <col min="9222" max="9222" width="7.42578125" style="173" customWidth="1"/>
    <col min="9223" max="9223" width="6.28515625" style="173" customWidth="1"/>
    <col min="9224" max="9224" width="5.5703125" style="173" bestFit="1" customWidth="1"/>
    <col min="9225" max="9225" width="9.5703125" style="173" customWidth="1"/>
    <col min="9226" max="9226" width="11.42578125" style="173" customWidth="1"/>
    <col min="9227" max="9472" width="9" style="173"/>
    <col min="9473" max="9473" width="10.28515625" style="173" customWidth="1"/>
    <col min="9474" max="9474" width="24.5703125" style="173" customWidth="1"/>
    <col min="9475" max="9475" width="14.5703125" style="173" customWidth="1"/>
    <col min="9476" max="9476" width="6" style="173" customWidth="1"/>
    <col min="9477" max="9477" width="7.28515625" style="173" customWidth="1"/>
    <col min="9478" max="9478" width="7.42578125" style="173" customWidth="1"/>
    <col min="9479" max="9479" width="6.28515625" style="173" customWidth="1"/>
    <col min="9480" max="9480" width="5.5703125" style="173" bestFit="1" customWidth="1"/>
    <col min="9481" max="9481" width="9.5703125" style="173" customWidth="1"/>
    <col min="9482" max="9482" width="11.42578125" style="173" customWidth="1"/>
    <col min="9483" max="9728" width="9" style="173"/>
    <col min="9729" max="9729" width="10.28515625" style="173" customWidth="1"/>
    <col min="9730" max="9730" width="24.5703125" style="173" customWidth="1"/>
    <col min="9731" max="9731" width="14.5703125" style="173" customWidth="1"/>
    <col min="9732" max="9732" width="6" style="173" customWidth="1"/>
    <col min="9733" max="9733" width="7.28515625" style="173" customWidth="1"/>
    <col min="9734" max="9734" width="7.42578125" style="173" customWidth="1"/>
    <col min="9735" max="9735" width="6.28515625" style="173" customWidth="1"/>
    <col min="9736" max="9736" width="5.5703125" style="173" bestFit="1" customWidth="1"/>
    <col min="9737" max="9737" width="9.5703125" style="173" customWidth="1"/>
    <col min="9738" max="9738" width="11.42578125" style="173" customWidth="1"/>
    <col min="9739" max="9984" width="9" style="173"/>
    <col min="9985" max="9985" width="10.28515625" style="173" customWidth="1"/>
    <col min="9986" max="9986" width="24.5703125" style="173" customWidth="1"/>
    <col min="9987" max="9987" width="14.5703125" style="173" customWidth="1"/>
    <col min="9988" max="9988" width="6" style="173" customWidth="1"/>
    <col min="9989" max="9989" width="7.28515625" style="173" customWidth="1"/>
    <col min="9990" max="9990" width="7.42578125" style="173" customWidth="1"/>
    <col min="9991" max="9991" width="6.28515625" style="173" customWidth="1"/>
    <col min="9992" max="9992" width="5.5703125" style="173" bestFit="1" customWidth="1"/>
    <col min="9993" max="9993" width="9.5703125" style="173" customWidth="1"/>
    <col min="9994" max="9994" width="11.42578125" style="173" customWidth="1"/>
    <col min="9995" max="10240" width="9" style="173"/>
    <col min="10241" max="10241" width="10.28515625" style="173" customWidth="1"/>
    <col min="10242" max="10242" width="24.5703125" style="173" customWidth="1"/>
    <col min="10243" max="10243" width="14.5703125" style="173" customWidth="1"/>
    <col min="10244" max="10244" width="6" style="173" customWidth="1"/>
    <col min="10245" max="10245" width="7.28515625" style="173" customWidth="1"/>
    <col min="10246" max="10246" width="7.42578125" style="173" customWidth="1"/>
    <col min="10247" max="10247" width="6.28515625" style="173" customWidth="1"/>
    <col min="10248" max="10248" width="5.5703125" style="173" bestFit="1" customWidth="1"/>
    <col min="10249" max="10249" width="9.5703125" style="173" customWidth="1"/>
    <col min="10250" max="10250" width="11.42578125" style="173" customWidth="1"/>
    <col min="10251" max="10496" width="9" style="173"/>
    <col min="10497" max="10497" width="10.28515625" style="173" customWidth="1"/>
    <col min="10498" max="10498" width="24.5703125" style="173" customWidth="1"/>
    <col min="10499" max="10499" width="14.5703125" style="173" customWidth="1"/>
    <col min="10500" max="10500" width="6" style="173" customWidth="1"/>
    <col min="10501" max="10501" width="7.28515625" style="173" customWidth="1"/>
    <col min="10502" max="10502" width="7.42578125" style="173" customWidth="1"/>
    <col min="10503" max="10503" width="6.28515625" style="173" customWidth="1"/>
    <col min="10504" max="10504" width="5.5703125" style="173" bestFit="1" customWidth="1"/>
    <col min="10505" max="10505" width="9.5703125" style="173" customWidth="1"/>
    <col min="10506" max="10506" width="11.42578125" style="173" customWidth="1"/>
    <col min="10507" max="10752" width="9" style="173"/>
    <col min="10753" max="10753" width="10.28515625" style="173" customWidth="1"/>
    <col min="10754" max="10754" width="24.5703125" style="173" customWidth="1"/>
    <col min="10755" max="10755" width="14.5703125" style="173" customWidth="1"/>
    <col min="10756" max="10756" width="6" style="173" customWidth="1"/>
    <col min="10757" max="10757" width="7.28515625" style="173" customWidth="1"/>
    <col min="10758" max="10758" width="7.42578125" style="173" customWidth="1"/>
    <col min="10759" max="10759" width="6.28515625" style="173" customWidth="1"/>
    <col min="10760" max="10760" width="5.5703125" style="173" bestFit="1" customWidth="1"/>
    <col min="10761" max="10761" width="9.5703125" style="173" customWidth="1"/>
    <col min="10762" max="10762" width="11.42578125" style="173" customWidth="1"/>
    <col min="10763" max="11008" width="9" style="173"/>
    <col min="11009" max="11009" width="10.28515625" style="173" customWidth="1"/>
    <col min="11010" max="11010" width="24.5703125" style="173" customWidth="1"/>
    <col min="11011" max="11011" width="14.5703125" style="173" customWidth="1"/>
    <col min="11012" max="11012" width="6" style="173" customWidth="1"/>
    <col min="11013" max="11013" width="7.28515625" style="173" customWidth="1"/>
    <col min="11014" max="11014" width="7.42578125" style="173" customWidth="1"/>
    <col min="11015" max="11015" width="6.28515625" style="173" customWidth="1"/>
    <col min="11016" max="11016" width="5.5703125" style="173" bestFit="1" customWidth="1"/>
    <col min="11017" max="11017" width="9.5703125" style="173" customWidth="1"/>
    <col min="11018" max="11018" width="11.42578125" style="173" customWidth="1"/>
    <col min="11019" max="11264" width="9" style="173"/>
    <col min="11265" max="11265" width="10.28515625" style="173" customWidth="1"/>
    <col min="11266" max="11266" width="24.5703125" style="173" customWidth="1"/>
    <col min="11267" max="11267" width="14.5703125" style="173" customWidth="1"/>
    <col min="11268" max="11268" width="6" style="173" customWidth="1"/>
    <col min="11269" max="11269" width="7.28515625" style="173" customWidth="1"/>
    <col min="11270" max="11270" width="7.42578125" style="173" customWidth="1"/>
    <col min="11271" max="11271" width="6.28515625" style="173" customWidth="1"/>
    <col min="11272" max="11272" width="5.5703125" style="173" bestFit="1" customWidth="1"/>
    <col min="11273" max="11273" width="9.5703125" style="173" customWidth="1"/>
    <col min="11274" max="11274" width="11.42578125" style="173" customWidth="1"/>
    <col min="11275" max="11520" width="9" style="173"/>
    <col min="11521" max="11521" width="10.28515625" style="173" customWidth="1"/>
    <col min="11522" max="11522" width="24.5703125" style="173" customWidth="1"/>
    <col min="11523" max="11523" width="14.5703125" style="173" customWidth="1"/>
    <col min="11524" max="11524" width="6" style="173" customWidth="1"/>
    <col min="11525" max="11525" width="7.28515625" style="173" customWidth="1"/>
    <col min="11526" max="11526" width="7.42578125" style="173" customWidth="1"/>
    <col min="11527" max="11527" width="6.28515625" style="173" customWidth="1"/>
    <col min="11528" max="11528" width="5.5703125" style="173" bestFit="1" customWidth="1"/>
    <col min="11529" max="11529" width="9.5703125" style="173" customWidth="1"/>
    <col min="11530" max="11530" width="11.42578125" style="173" customWidth="1"/>
    <col min="11531" max="11776" width="9" style="173"/>
    <col min="11777" max="11777" width="10.28515625" style="173" customWidth="1"/>
    <col min="11778" max="11778" width="24.5703125" style="173" customWidth="1"/>
    <col min="11779" max="11779" width="14.5703125" style="173" customWidth="1"/>
    <col min="11780" max="11780" width="6" style="173" customWidth="1"/>
    <col min="11781" max="11781" width="7.28515625" style="173" customWidth="1"/>
    <col min="11782" max="11782" width="7.42578125" style="173" customWidth="1"/>
    <col min="11783" max="11783" width="6.28515625" style="173" customWidth="1"/>
    <col min="11784" max="11784" width="5.5703125" style="173" bestFit="1" customWidth="1"/>
    <col min="11785" max="11785" width="9.5703125" style="173" customWidth="1"/>
    <col min="11786" max="11786" width="11.42578125" style="173" customWidth="1"/>
    <col min="11787" max="12032" width="9" style="173"/>
    <col min="12033" max="12033" width="10.28515625" style="173" customWidth="1"/>
    <col min="12034" max="12034" width="24.5703125" style="173" customWidth="1"/>
    <col min="12035" max="12035" width="14.5703125" style="173" customWidth="1"/>
    <col min="12036" max="12036" width="6" style="173" customWidth="1"/>
    <col min="12037" max="12037" width="7.28515625" style="173" customWidth="1"/>
    <col min="12038" max="12038" width="7.42578125" style="173" customWidth="1"/>
    <col min="12039" max="12039" width="6.28515625" style="173" customWidth="1"/>
    <col min="12040" max="12040" width="5.5703125" style="173" bestFit="1" customWidth="1"/>
    <col min="12041" max="12041" width="9.5703125" style="173" customWidth="1"/>
    <col min="12042" max="12042" width="11.42578125" style="173" customWidth="1"/>
    <col min="12043" max="12288" width="9" style="173"/>
    <col min="12289" max="12289" width="10.28515625" style="173" customWidth="1"/>
    <col min="12290" max="12290" width="24.5703125" style="173" customWidth="1"/>
    <col min="12291" max="12291" width="14.5703125" style="173" customWidth="1"/>
    <col min="12292" max="12292" width="6" style="173" customWidth="1"/>
    <col min="12293" max="12293" width="7.28515625" style="173" customWidth="1"/>
    <col min="12294" max="12294" width="7.42578125" style="173" customWidth="1"/>
    <col min="12295" max="12295" width="6.28515625" style="173" customWidth="1"/>
    <col min="12296" max="12296" width="5.5703125" style="173" bestFit="1" customWidth="1"/>
    <col min="12297" max="12297" width="9.5703125" style="173" customWidth="1"/>
    <col min="12298" max="12298" width="11.42578125" style="173" customWidth="1"/>
    <col min="12299" max="12544" width="9" style="173"/>
    <col min="12545" max="12545" width="10.28515625" style="173" customWidth="1"/>
    <col min="12546" max="12546" width="24.5703125" style="173" customWidth="1"/>
    <col min="12547" max="12547" width="14.5703125" style="173" customWidth="1"/>
    <col min="12548" max="12548" width="6" style="173" customWidth="1"/>
    <col min="12549" max="12549" width="7.28515625" style="173" customWidth="1"/>
    <col min="12550" max="12550" width="7.42578125" style="173" customWidth="1"/>
    <col min="12551" max="12551" width="6.28515625" style="173" customWidth="1"/>
    <col min="12552" max="12552" width="5.5703125" style="173" bestFit="1" customWidth="1"/>
    <col min="12553" max="12553" width="9.5703125" style="173" customWidth="1"/>
    <col min="12554" max="12554" width="11.42578125" style="173" customWidth="1"/>
    <col min="12555" max="12800" width="9" style="173"/>
    <col min="12801" max="12801" width="10.28515625" style="173" customWidth="1"/>
    <col min="12802" max="12802" width="24.5703125" style="173" customWidth="1"/>
    <col min="12803" max="12803" width="14.5703125" style="173" customWidth="1"/>
    <col min="12804" max="12804" width="6" style="173" customWidth="1"/>
    <col min="12805" max="12805" width="7.28515625" style="173" customWidth="1"/>
    <col min="12806" max="12806" width="7.42578125" style="173" customWidth="1"/>
    <col min="12807" max="12807" width="6.28515625" style="173" customWidth="1"/>
    <col min="12808" max="12808" width="5.5703125" style="173" bestFit="1" customWidth="1"/>
    <col min="12809" max="12809" width="9.5703125" style="173" customWidth="1"/>
    <col min="12810" max="12810" width="11.42578125" style="173" customWidth="1"/>
    <col min="12811" max="13056" width="9" style="173"/>
    <col min="13057" max="13057" width="10.28515625" style="173" customWidth="1"/>
    <col min="13058" max="13058" width="24.5703125" style="173" customWidth="1"/>
    <col min="13059" max="13059" width="14.5703125" style="173" customWidth="1"/>
    <col min="13060" max="13060" width="6" style="173" customWidth="1"/>
    <col min="13061" max="13061" width="7.28515625" style="173" customWidth="1"/>
    <col min="13062" max="13062" width="7.42578125" style="173" customWidth="1"/>
    <col min="13063" max="13063" width="6.28515625" style="173" customWidth="1"/>
    <col min="13064" max="13064" width="5.5703125" style="173" bestFit="1" customWidth="1"/>
    <col min="13065" max="13065" width="9.5703125" style="173" customWidth="1"/>
    <col min="13066" max="13066" width="11.42578125" style="173" customWidth="1"/>
    <col min="13067" max="13312" width="9" style="173"/>
    <col min="13313" max="13313" width="10.28515625" style="173" customWidth="1"/>
    <col min="13314" max="13314" width="24.5703125" style="173" customWidth="1"/>
    <col min="13315" max="13315" width="14.5703125" style="173" customWidth="1"/>
    <col min="13316" max="13316" width="6" style="173" customWidth="1"/>
    <col min="13317" max="13317" width="7.28515625" style="173" customWidth="1"/>
    <col min="13318" max="13318" width="7.42578125" style="173" customWidth="1"/>
    <col min="13319" max="13319" width="6.28515625" style="173" customWidth="1"/>
    <col min="13320" max="13320" width="5.5703125" style="173" bestFit="1" customWidth="1"/>
    <col min="13321" max="13321" width="9.5703125" style="173" customWidth="1"/>
    <col min="13322" max="13322" width="11.42578125" style="173" customWidth="1"/>
    <col min="13323" max="13568" width="9" style="173"/>
    <col min="13569" max="13569" width="10.28515625" style="173" customWidth="1"/>
    <col min="13570" max="13570" width="24.5703125" style="173" customWidth="1"/>
    <col min="13571" max="13571" width="14.5703125" style="173" customWidth="1"/>
    <col min="13572" max="13572" width="6" style="173" customWidth="1"/>
    <col min="13573" max="13573" width="7.28515625" style="173" customWidth="1"/>
    <col min="13574" max="13574" width="7.42578125" style="173" customWidth="1"/>
    <col min="13575" max="13575" width="6.28515625" style="173" customWidth="1"/>
    <col min="13576" max="13576" width="5.5703125" style="173" bestFit="1" customWidth="1"/>
    <col min="13577" max="13577" width="9.5703125" style="173" customWidth="1"/>
    <col min="13578" max="13578" width="11.42578125" style="173" customWidth="1"/>
    <col min="13579" max="13824" width="9" style="173"/>
    <col min="13825" max="13825" width="10.28515625" style="173" customWidth="1"/>
    <col min="13826" max="13826" width="24.5703125" style="173" customWidth="1"/>
    <col min="13827" max="13827" width="14.5703125" style="173" customWidth="1"/>
    <col min="13828" max="13828" width="6" style="173" customWidth="1"/>
    <col min="13829" max="13829" width="7.28515625" style="173" customWidth="1"/>
    <col min="13830" max="13830" width="7.42578125" style="173" customWidth="1"/>
    <col min="13831" max="13831" width="6.28515625" style="173" customWidth="1"/>
    <col min="13832" max="13832" width="5.5703125" style="173" bestFit="1" customWidth="1"/>
    <col min="13833" max="13833" width="9.5703125" style="173" customWidth="1"/>
    <col min="13834" max="13834" width="11.42578125" style="173" customWidth="1"/>
    <col min="13835" max="14080" width="9" style="173"/>
    <col min="14081" max="14081" width="10.28515625" style="173" customWidth="1"/>
    <col min="14082" max="14082" width="24.5703125" style="173" customWidth="1"/>
    <col min="14083" max="14083" width="14.5703125" style="173" customWidth="1"/>
    <col min="14084" max="14084" width="6" style="173" customWidth="1"/>
    <col min="14085" max="14085" width="7.28515625" style="173" customWidth="1"/>
    <col min="14086" max="14086" width="7.42578125" style="173" customWidth="1"/>
    <col min="14087" max="14087" width="6.28515625" style="173" customWidth="1"/>
    <col min="14088" max="14088" width="5.5703125" style="173" bestFit="1" customWidth="1"/>
    <col min="14089" max="14089" width="9.5703125" style="173" customWidth="1"/>
    <col min="14090" max="14090" width="11.42578125" style="173" customWidth="1"/>
    <col min="14091" max="14336" width="9" style="173"/>
    <col min="14337" max="14337" width="10.28515625" style="173" customWidth="1"/>
    <col min="14338" max="14338" width="24.5703125" style="173" customWidth="1"/>
    <col min="14339" max="14339" width="14.5703125" style="173" customWidth="1"/>
    <col min="14340" max="14340" width="6" style="173" customWidth="1"/>
    <col min="14341" max="14341" width="7.28515625" style="173" customWidth="1"/>
    <col min="14342" max="14342" width="7.42578125" style="173" customWidth="1"/>
    <col min="14343" max="14343" width="6.28515625" style="173" customWidth="1"/>
    <col min="14344" max="14344" width="5.5703125" style="173" bestFit="1" customWidth="1"/>
    <col min="14345" max="14345" width="9.5703125" style="173" customWidth="1"/>
    <col min="14346" max="14346" width="11.42578125" style="173" customWidth="1"/>
    <col min="14347" max="14592" width="9" style="173"/>
    <col min="14593" max="14593" width="10.28515625" style="173" customWidth="1"/>
    <col min="14594" max="14594" width="24.5703125" style="173" customWidth="1"/>
    <col min="14595" max="14595" width="14.5703125" style="173" customWidth="1"/>
    <col min="14596" max="14596" width="6" style="173" customWidth="1"/>
    <col min="14597" max="14597" width="7.28515625" style="173" customWidth="1"/>
    <col min="14598" max="14598" width="7.42578125" style="173" customWidth="1"/>
    <col min="14599" max="14599" width="6.28515625" style="173" customWidth="1"/>
    <col min="14600" max="14600" width="5.5703125" style="173" bestFit="1" customWidth="1"/>
    <col min="14601" max="14601" width="9.5703125" style="173" customWidth="1"/>
    <col min="14602" max="14602" width="11.42578125" style="173" customWidth="1"/>
    <col min="14603" max="14848" width="9" style="173"/>
    <col min="14849" max="14849" width="10.28515625" style="173" customWidth="1"/>
    <col min="14850" max="14850" width="24.5703125" style="173" customWidth="1"/>
    <col min="14851" max="14851" width="14.5703125" style="173" customWidth="1"/>
    <col min="14852" max="14852" width="6" style="173" customWidth="1"/>
    <col min="14853" max="14853" width="7.28515625" style="173" customWidth="1"/>
    <col min="14854" max="14854" width="7.42578125" style="173" customWidth="1"/>
    <col min="14855" max="14855" width="6.28515625" style="173" customWidth="1"/>
    <col min="14856" max="14856" width="5.5703125" style="173" bestFit="1" customWidth="1"/>
    <col min="14857" max="14857" width="9.5703125" style="173" customWidth="1"/>
    <col min="14858" max="14858" width="11.42578125" style="173" customWidth="1"/>
    <col min="14859" max="15104" width="9" style="173"/>
    <col min="15105" max="15105" width="10.28515625" style="173" customWidth="1"/>
    <col min="15106" max="15106" width="24.5703125" style="173" customWidth="1"/>
    <col min="15107" max="15107" width="14.5703125" style="173" customWidth="1"/>
    <col min="15108" max="15108" width="6" style="173" customWidth="1"/>
    <col min="15109" max="15109" width="7.28515625" style="173" customWidth="1"/>
    <col min="15110" max="15110" width="7.42578125" style="173" customWidth="1"/>
    <col min="15111" max="15111" width="6.28515625" style="173" customWidth="1"/>
    <col min="15112" max="15112" width="5.5703125" style="173" bestFit="1" customWidth="1"/>
    <col min="15113" max="15113" width="9.5703125" style="173" customWidth="1"/>
    <col min="15114" max="15114" width="11.42578125" style="173" customWidth="1"/>
    <col min="15115" max="15360" width="9" style="173"/>
    <col min="15361" max="15361" width="10.28515625" style="173" customWidth="1"/>
    <col min="15362" max="15362" width="24.5703125" style="173" customWidth="1"/>
    <col min="15363" max="15363" width="14.5703125" style="173" customWidth="1"/>
    <col min="15364" max="15364" width="6" style="173" customWidth="1"/>
    <col min="15365" max="15365" width="7.28515625" style="173" customWidth="1"/>
    <col min="15366" max="15366" width="7.42578125" style="173" customWidth="1"/>
    <col min="15367" max="15367" width="6.28515625" style="173" customWidth="1"/>
    <col min="15368" max="15368" width="5.5703125" style="173" bestFit="1" customWidth="1"/>
    <col min="15369" max="15369" width="9.5703125" style="173" customWidth="1"/>
    <col min="15370" max="15370" width="11.42578125" style="173" customWidth="1"/>
    <col min="15371" max="15616" width="9" style="173"/>
    <col min="15617" max="15617" width="10.28515625" style="173" customWidth="1"/>
    <col min="15618" max="15618" width="24.5703125" style="173" customWidth="1"/>
    <col min="15619" max="15619" width="14.5703125" style="173" customWidth="1"/>
    <col min="15620" max="15620" width="6" style="173" customWidth="1"/>
    <col min="15621" max="15621" width="7.28515625" style="173" customWidth="1"/>
    <col min="15622" max="15622" width="7.42578125" style="173" customWidth="1"/>
    <col min="15623" max="15623" width="6.28515625" style="173" customWidth="1"/>
    <col min="15624" max="15624" width="5.5703125" style="173" bestFit="1" customWidth="1"/>
    <col min="15625" max="15625" width="9.5703125" style="173" customWidth="1"/>
    <col min="15626" max="15626" width="11.42578125" style="173" customWidth="1"/>
    <col min="15627" max="15872" width="9" style="173"/>
    <col min="15873" max="15873" width="10.28515625" style="173" customWidth="1"/>
    <col min="15874" max="15874" width="24.5703125" style="173" customWidth="1"/>
    <col min="15875" max="15875" width="14.5703125" style="173" customWidth="1"/>
    <col min="15876" max="15876" width="6" style="173" customWidth="1"/>
    <col min="15877" max="15877" width="7.28515625" style="173" customWidth="1"/>
    <col min="15878" max="15878" width="7.42578125" style="173" customWidth="1"/>
    <col min="15879" max="15879" width="6.28515625" style="173" customWidth="1"/>
    <col min="15880" max="15880" width="5.5703125" style="173" bestFit="1" customWidth="1"/>
    <col min="15881" max="15881" width="9.5703125" style="173" customWidth="1"/>
    <col min="15882" max="15882" width="11.42578125" style="173" customWidth="1"/>
    <col min="15883" max="16128" width="9" style="173"/>
    <col min="16129" max="16129" width="10.28515625" style="173" customWidth="1"/>
    <col min="16130" max="16130" width="24.5703125" style="173" customWidth="1"/>
    <col min="16131" max="16131" width="14.5703125" style="173" customWidth="1"/>
    <col min="16132" max="16132" width="6" style="173" customWidth="1"/>
    <col min="16133" max="16133" width="7.28515625" style="173" customWidth="1"/>
    <col min="16134" max="16134" width="7.42578125" style="173" customWidth="1"/>
    <col min="16135" max="16135" width="6.28515625" style="173" customWidth="1"/>
    <col min="16136" max="16136" width="5.5703125" style="173" bestFit="1" customWidth="1"/>
    <col min="16137" max="16137" width="9.5703125" style="173" customWidth="1"/>
    <col min="16138" max="16138" width="11.42578125" style="173" customWidth="1"/>
    <col min="16139" max="16384" width="9" style="173"/>
  </cols>
  <sheetData>
    <row r="1" spans="1:11" s="151" customFormat="1" ht="22.5" x14ac:dyDescent="0.3">
      <c r="B1" s="354" t="s">
        <v>103</v>
      </c>
      <c r="C1" s="354"/>
      <c r="D1" s="354"/>
      <c r="E1" s="354"/>
      <c r="F1" s="354"/>
      <c r="G1" s="354"/>
      <c r="H1" s="354"/>
      <c r="I1" s="354"/>
      <c r="J1" s="150"/>
    </row>
    <row r="2" spans="1:11" s="151" customFormat="1" ht="22.5" x14ac:dyDescent="0.3">
      <c r="B2" s="355" t="s">
        <v>18</v>
      </c>
      <c r="C2" s="355"/>
      <c r="D2" s="355"/>
      <c r="E2" s="355"/>
      <c r="F2" s="355"/>
      <c r="G2" s="355"/>
      <c r="H2" s="355"/>
      <c r="I2" s="355"/>
      <c r="J2" s="152"/>
    </row>
    <row r="3" spans="1:11" s="151" customFormat="1" ht="36.75" customHeight="1" x14ac:dyDescent="0.25">
      <c r="B3" s="356" t="s">
        <v>107</v>
      </c>
      <c r="C3" s="356"/>
      <c r="D3" s="356"/>
      <c r="E3" s="356"/>
      <c r="F3" s="356"/>
      <c r="G3" s="356"/>
      <c r="H3" s="356"/>
      <c r="I3" s="356"/>
    </row>
    <row r="4" spans="1:11" s="151" customFormat="1" ht="12.75" x14ac:dyDescent="0.2"/>
    <row r="5" spans="1:11" s="151" customFormat="1" ht="15" x14ac:dyDescent="0.2">
      <c r="A5" s="160" t="s">
        <v>104</v>
      </c>
      <c r="B5" s="177" t="e">
        <f>VLOOKUP(F5,'sheet 1'!#REF!,3,FALSE)</f>
        <v>#REF!</v>
      </c>
      <c r="C5" s="178"/>
      <c r="D5" s="357" t="s">
        <v>47</v>
      </c>
      <c r="E5" s="357"/>
      <c r="F5" s="155">
        <v>1</v>
      </c>
    </row>
    <row r="6" spans="1:11" s="151" customFormat="1" ht="15" x14ac:dyDescent="0.2">
      <c r="A6" s="160" t="s">
        <v>105</v>
      </c>
      <c r="B6" s="153" t="e">
        <f>VLOOKUP(F5,'sheet 1'!#REF!,4,FALSE)</f>
        <v>#REF!</v>
      </c>
      <c r="C6" s="154"/>
      <c r="D6" s="353" t="s">
        <v>106</v>
      </c>
      <c r="E6" s="353"/>
      <c r="F6" s="180" t="e">
        <f>VLOOKUP(F5,'sheet 1'!#REF!,2,FALSE)</f>
        <v>#REF!</v>
      </c>
    </row>
    <row r="7" spans="1:11" s="151" customFormat="1" ht="30.75" customHeight="1" x14ac:dyDescent="0.2">
      <c r="A7" s="156" t="s">
        <v>11</v>
      </c>
      <c r="B7" s="156" t="s">
        <v>90</v>
      </c>
      <c r="C7" s="156" t="s">
        <v>91</v>
      </c>
      <c r="D7" s="156" t="s">
        <v>92</v>
      </c>
      <c r="E7" s="156" t="s">
        <v>16</v>
      </c>
      <c r="F7" s="156" t="s">
        <v>12</v>
      </c>
      <c r="G7" s="156" t="s">
        <v>7</v>
      </c>
      <c r="H7" s="156" t="s">
        <v>93</v>
      </c>
      <c r="I7" s="156" t="s">
        <v>94</v>
      </c>
    </row>
    <row r="8" spans="1:11" s="151" customFormat="1" ht="15" customHeight="1" x14ac:dyDescent="0.2">
      <c r="A8" s="175"/>
      <c r="B8" s="176" t="e">
        <f>#REF!</f>
        <v>#REF!</v>
      </c>
      <c r="C8" s="157" t="e">
        <f>#REF!</f>
        <v>#REF!</v>
      </c>
      <c r="D8" s="158" t="e">
        <f>C8*20</f>
        <v>#REF!</v>
      </c>
      <c r="E8" s="159" t="e">
        <f>VLOOKUP(F5,'sheet 1'!#REF!,5,FALSE)</f>
        <v>#REF!</v>
      </c>
      <c r="F8" s="159" t="e">
        <f>VLOOKUP(F5,'sheet 1'!#REF!,6,FALSE)</f>
        <v>#REF!</v>
      </c>
      <c r="G8" s="158" t="e">
        <f t="shared" ref="G8:G12" si="0">IF(F8&gt;89.99,"A+",IF(F8&gt;79.99,"A",IF(F8&gt;74.99,"B+",IF(F8&gt;69.99,"B",IF(F8&gt;64.99,"C+",IF(F8&gt;59.99,"C",IF(F8&gt;54.99,"D+",IF(F8&gt;49.99,"D","F"))))))))</f>
        <v>#REF!</v>
      </c>
      <c r="H8" s="159" t="e">
        <f t="shared" ref="H8:H12" si="1">IF(F8&gt;79.99,4,IF(F8&gt;74.99,F8/10-4,IF(F8&gt;69.99,F8/10-4,IF(F8&gt;64.99,F8/10-4,IF(F8&gt;59.99,F8/10-4,IF(F8&gt;54.99,F8/10-4,IF(F8&gt;49.99,F8/10-4,"0.00")))))))</f>
        <v>#REF!</v>
      </c>
      <c r="I8" s="159" t="e">
        <f t="shared" ref="I8:I12" si="2">C8*H8</f>
        <v>#REF!</v>
      </c>
    </row>
    <row r="9" spans="1:11" s="151" customFormat="1" ht="12.75" x14ac:dyDescent="0.2">
      <c r="A9" s="175"/>
      <c r="B9" s="176" t="e">
        <f>#REF!</f>
        <v>#REF!</v>
      </c>
      <c r="C9" s="157" t="e">
        <f>#REF!</f>
        <v>#REF!</v>
      </c>
      <c r="D9" s="158" t="e">
        <f t="shared" ref="D9:D12" si="3">C9*20</f>
        <v>#REF!</v>
      </c>
      <c r="E9" s="159" t="e">
        <f>VLOOKUP(F5,'sheet 1'!#REF!,9,FALSE)</f>
        <v>#REF!</v>
      </c>
      <c r="F9" s="159" t="e">
        <f>VLOOKUP(F5,'sheet 1'!#REF!,10,FALSE)</f>
        <v>#REF!</v>
      </c>
      <c r="G9" s="158" t="e">
        <f t="shared" si="0"/>
        <v>#REF!</v>
      </c>
      <c r="H9" s="159" t="e">
        <f t="shared" si="1"/>
        <v>#REF!</v>
      </c>
      <c r="I9" s="159" t="e">
        <f t="shared" si="2"/>
        <v>#REF!</v>
      </c>
    </row>
    <row r="10" spans="1:11" s="151" customFormat="1" ht="12.75" x14ac:dyDescent="0.2">
      <c r="A10" s="175"/>
      <c r="B10" s="176" t="e">
        <f>#REF!</f>
        <v>#REF!</v>
      </c>
      <c r="C10" s="157" t="e">
        <f>#REF!</f>
        <v>#REF!</v>
      </c>
      <c r="D10" s="158" t="e">
        <f t="shared" si="3"/>
        <v>#REF!</v>
      </c>
      <c r="E10" s="159" t="e">
        <f>VLOOKUP(F5,'sheet 1'!#REF!,13,FALSE)</f>
        <v>#REF!</v>
      </c>
      <c r="F10" s="159" t="e">
        <f>VLOOKUP(F5,'sheet 1'!#REF!,14,FALSE)</f>
        <v>#REF!</v>
      </c>
      <c r="G10" s="159" t="e">
        <f t="shared" si="0"/>
        <v>#REF!</v>
      </c>
      <c r="H10" s="159" t="e">
        <f t="shared" si="1"/>
        <v>#REF!</v>
      </c>
      <c r="I10" s="159" t="e">
        <f t="shared" si="2"/>
        <v>#REF!</v>
      </c>
    </row>
    <row r="11" spans="1:11" s="151" customFormat="1" ht="12.75" x14ac:dyDescent="0.2">
      <c r="A11" s="175"/>
      <c r="B11" s="176" t="e">
        <f>#REF!</f>
        <v>#REF!</v>
      </c>
      <c r="C11" s="157" t="e">
        <f>#REF!</f>
        <v>#REF!</v>
      </c>
      <c r="D11" s="158" t="e">
        <f t="shared" si="3"/>
        <v>#REF!</v>
      </c>
      <c r="E11" s="159" t="e">
        <f>VLOOKUP(F5,'sheet 1'!#REF!,17,FALSE)</f>
        <v>#REF!</v>
      </c>
      <c r="F11" s="159" t="e">
        <f>VLOOKUP(F5,'sheet 1'!#REF!,18,FALSE)</f>
        <v>#REF!</v>
      </c>
      <c r="G11" s="158" t="e">
        <f t="shared" si="0"/>
        <v>#REF!</v>
      </c>
      <c r="H11" s="159" t="e">
        <f t="shared" si="1"/>
        <v>#REF!</v>
      </c>
      <c r="I11" s="159" t="e">
        <f t="shared" si="2"/>
        <v>#REF!</v>
      </c>
    </row>
    <row r="12" spans="1:11" s="151" customFormat="1" ht="12.75" x14ac:dyDescent="0.2">
      <c r="A12" s="175"/>
      <c r="B12" s="176" t="e">
        <f>#REF!</f>
        <v>#REF!</v>
      </c>
      <c r="C12" s="157" t="e">
        <f>#REF!</f>
        <v>#REF!</v>
      </c>
      <c r="D12" s="158" t="e">
        <f t="shared" si="3"/>
        <v>#REF!</v>
      </c>
      <c r="E12" s="159" t="e">
        <f>VLOOKUP(F5,'sheet 1'!#REF!,21,FALSE)</f>
        <v>#REF!</v>
      </c>
      <c r="F12" s="159" t="e">
        <f>VLOOKUP(F5,'sheet 1'!#REF!,22,FALSE)</f>
        <v>#REF!</v>
      </c>
      <c r="G12" s="158" t="e">
        <f t="shared" si="0"/>
        <v>#REF!</v>
      </c>
      <c r="H12" s="159" t="e">
        <f t="shared" si="1"/>
        <v>#REF!</v>
      </c>
      <c r="I12" s="159" t="e">
        <f t="shared" si="2"/>
        <v>#REF!</v>
      </c>
    </row>
    <row r="13" spans="1:11" s="151" customFormat="1" ht="15" x14ac:dyDescent="0.2">
      <c r="B13" s="160" t="s">
        <v>95</v>
      </c>
      <c r="C13" s="155" t="e">
        <f>SUM(C8:C12)</f>
        <v>#REF!</v>
      </c>
      <c r="D13" s="155" t="e">
        <f>SUM(D8:D12)</f>
        <v>#REF!</v>
      </c>
      <c r="E13" s="174" t="e">
        <f>SUM(E8:E12)</f>
        <v>#REF!</v>
      </c>
      <c r="I13" s="161" t="e">
        <f>SUM(I8:I12)</f>
        <v>#REF!</v>
      </c>
    </row>
    <row r="14" spans="1:11" s="151" customFormat="1" ht="15" x14ac:dyDescent="0.2">
      <c r="C14" s="162"/>
      <c r="D14" s="162"/>
      <c r="E14" s="162"/>
      <c r="I14" s="163"/>
      <c r="K14" s="164"/>
    </row>
    <row r="15" spans="1:11" s="151" customFormat="1" ht="18" x14ac:dyDescent="0.25">
      <c r="B15" s="165" t="s">
        <v>108</v>
      </c>
      <c r="C15" s="166" t="e">
        <f>I13/C13</f>
        <v>#REF!</v>
      </c>
      <c r="D15" s="167"/>
      <c r="E15" s="167"/>
      <c r="K15" s="168" t="e">
        <f>(F8+F9+F10+F11+F12)*100/500</f>
        <v>#REF!</v>
      </c>
    </row>
    <row r="16" spans="1:11" s="151" customFormat="1" ht="18" x14ac:dyDescent="0.25">
      <c r="B16" s="165" t="s">
        <v>58</v>
      </c>
      <c r="C16" s="169" t="e">
        <f>IF(C15&gt;3.99,"A",IF(C15&gt;3.49,"B+",IF(C15&gt;2.99,"B",IF(C15&gt;2.49,"C+",IF(C15&gt;1.99,"C",IF(C15&gt;1.49,"D+",IF(C15&gt;0.99,"D","F")))))))</f>
        <v>#REF!</v>
      </c>
      <c r="D16" s="170"/>
      <c r="E16" s="170"/>
    </row>
    <row r="17" spans="1:11" s="151" customFormat="1" ht="18.75" customHeight="1" x14ac:dyDescent="0.2">
      <c r="B17" s="171" t="s">
        <v>59</v>
      </c>
      <c r="C17" s="172" t="e">
        <f>IF(C15&gt;3.99,"Excellent",IF(C15&gt;3.49,"Very Good",IF(C15&gt;2.99,"Good",IF(C15&gt;2.49,"Fair",IF(C15&gt;1.99,"Fair",IF(C15&gt;1.49,"Pass (Probation)",IF(C15&gt;0.99,"Pass (Probation)","Fail")))))))</f>
        <v>#REF!</v>
      </c>
      <c r="D17" s="170"/>
      <c r="E17" s="170"/>
    </row>
    <row r="19" spans="1:11" s="151" customFormat="1" ht="15" x14ac:dyDescent="0.2">
      <c r="A19" s="160" t="s">
        <v>104</v>
      </c>
      <c r="B19" s="177" t="e">
        <f>VLOOKUP(F19,'sheet 1'!#REF!,3,FALSE)</f>
        <v>#REF!</v>
      </c>
      <c r="C19" s="178"/>
      <c r="D19" s="357" t="s">
        <v>47</v>
      </c>
      <c r="E19" s="357"/>
      <c r="F19" s="155">
        <f>F5+1</f>
        <v>2</v>
      </c>
    </row>
    <row r="20" spans="1:11" s="151" customFormat="1" ht="15" x14ac:dyDescent="0.2">
      <c r="A20" s="160" t="s">
        <v>105</v>
      </c>
      <c r="B20" s="153" t="e">
        <f>VLOOKUP(F19,'sheet 1'!#REF!,4,FALSE)</f>
        <v>#REF!</v>
      </c>
      <c r="C20" s="154"/>
      <c r="D20" s="353" t="s">
        <v>106</v>
      </c>
      <c r="E20" s="353"/>
      <c r="F20" s="180" t="e">
        <f>VLOOKUP(F19,'sheet 1'!#REF!,2,FALSE)</f>
        <v>#REF!</v>
      </c>
    </row>
    <row r="21" spans="1:11" s="151" customFormat="1" ht="30.75" customHeight="1" x14ac:dyDescent="0.2">
      <c r="A21" s="156" t="s">
        <v>11</v>
      </c>
      <c r="B21" s="156" t="s">
        <v>90</v>
      </c>
      <c r="C21" s="156" t="s">
        <v>91</v>
      </c>
      <c r="D21" s="156" t="s">
        <v>92</v>
      </c>
      <c r="E21" s="156" t="s">
        <v>16</v>
      </c>
      <c r="F21" s="156" t="s">
        <v>12</v>
      </c>
      <c r="G21" s="156" t="s">
        <v>7</v>
      </c>
      <c r="H21" s="156" t="s">
        <v>93</v>
      </c>
      <c r="I21" s="156" t="s">
        <v>94</v>
      </c>
    </row>
    <row r="22" spans="1:11" s="151" customFormat="1" ht="15" customHeight="1" x14ac:dyDescent="0.2">
      <c r="A22" s="175"/>
      <c r="B22" s="176" t="e">
        <f t="shared" ref="B22:C26" si="4">B8</f>
        <v>#REF!</v>
      </c>
      <c r="C22" s="157" t="e">
        <f t="shared" si="4"/>
        <v>#REF!</v>
      </c>
      <c r="D22" s="158" t="e">
        <f t="shared" ref="D22:D26" si="5">C22*20</f>
        <v>#REF!</v>
      </c>
      <c r="E22" s="159" t="e">
        <f>VLOOKUP(F19,'sheet 1'!#REF!,5,FALSE)</f>
        <v>#REF!</v>
      </c>
      <c r="F22" s="159" t="e">
        <f>VLOOKUP(F19,'sheet 1'!#REF!,6,FALSE)</f>
        <v>#REF!</v>
      </c>
      <c r="G22" s="158" t="e">
        <f t="shared" ref="G22:G26" si="6">IF(F22&gt;89.99,"A+",IF(F22&gt;79.99,"A",IF(F22&gt;74.99,"B+",IF(F22&gt;69.99,"B",IF(F22&gt;64.99,"C+",IF(F22&gt;59.99,"C",IF(F22&gt;54.99,"D+",IF(F22&gt;49.99,"D","F"))))))))</f>
        <v>#REF!</v>
      </c>
      <c r="H22" s="159" t="e">
        <f t="shared" ref="H22:H26" si="7">IF(F22&gt;79.99,4,IF(F22&gt;74.99,F22/10-4,IF(F22&gt;69.99,F22/10-4,IF(F22&gt;64.99,F22/10-4,IF(F22&gt;59.99,F22/10-4,IF(F22&gt;54.99,F22/10-4,IF(F22&gt;49.99,F22/10-4,"0.00")))))))</f>
        <v>#REF!</v>
      </c>
      <c r="I22" s="159" t="e">
        <f t="shared" ref="I22:I26" si="8">C22*H22</f>
        <v>#REF!</v>
      </c>
    </row>
    <row r="23" spans="1:11" s="151" customFormat="1" ht="12.75" x14ac:dyDescent="0.2">
      <c r="A23" s="175"/>
      <c r="B23" s="176" t="e">
        <f t="shared" si="4"/>
        <v>#REF!</v>
      </c>
      <c r="C23" s="157" t="e">
        <f t="shared" si="4"/>
        <v>#REF!</v>
      </c>
      <c r="D23" s="158" t="e">
        <f t="shared" si="5"/>
        <v>#REF!</v>
      </c>
      <c r="E23" s="159" t="e">
        <f>VLOOKUP(F19,'sheet 1'!#REF!,9,FALSE)</f>
        <v>#REF!</v>
      </c>
      <c r="F23" s="159" t="e">
        <f>VLOOKUP(F19,'sheet 1'!#REF!,10,FALSE)</f>
        <v>#REF!</v>
      </c>
      <c r="G23" s="158" t="e">
        <f t="shared" si="6"/>
        <v>#REF!</v>
      </c>
      <c r="H23" s="159" t="e">
        <f t="shared" si="7"/>
        <v>#REF!</v>
      </c>
      <c r="I23" s="159" t="e">
        <f t="shared" si="8"/>
        <v>#REF!</v>
      </c>
    </row>
    <row r="24" spans="1:11" s="151" customFormat="1" ht="12.75" x14ac:dyDescent="0.2">
      <c r="A24" s="175"/>
      <c r="B24" s="176" t="e">
        <f t="shared" si="4"/>
        <v>#REF!</v>
      </c>
      <c r="C24" s="157" t="e">
        <f t="shared" si="4"/>
        <v>#REF!</v>
      </c>
      <c r="D24" s="158" t="e">
        <f t="shared" si="5"/>
        <v>#REF!</v>
      </c>
      <c r="E24" s="159" t="e">
        <f>VLOOKUP(F19,'sheet 1'!#REF!,13,FALSE)</f>
        <v>#REF!</v>
      </c>
      <c r="F24" s="159" t="e">
        <f>VLOOKUP(F19,'sheet 1'!#REF!,14,FALSE)</f>
        <v>#REF!</v>
      </c>
      <c r="G24" s="159" t="e">
        <f t="shared" si="6"/>
        <v>#REF!</v>
      </c>
      <c r="H24" s="159" t="e">
        <f t="shared" si="7"/>
        <v>#REF!</v>
      </c>
      <c r="I24" s="159" t="e">
        <f t="shared" si="8"/>
        <v>#REF!</v>
      </c>
    </row>
    <row r="25" spans="1:11" s="151" customFormat="1" ht="12.75" x14ac:dyDescent="0.2">
      <c r="A25" s="175"/>
      <c r="B25" s="176" t="e">
        <f t="shared" si="4"/>
        <v>#REF!</v>
      </c>
      <c r="C25" s="157" t="e">
        <f t="shared" si="4"/>
        <v>#REF!</v>
      </c>
      <c r="D25" s="158" t="e">
        <f t="shared" si="5"/>
        <v>#REF!</v>
      </c>
      <c r="E25" s="159" t="e">
        <f>VLOOKUP(F19,'sheet 1'!#REF!,17,FALSE)</f>
        <v>#REF!</v>
      </c>
      <c r="F25" s="159" t="e">
        <f>VLOOKUP(F19,'sheet 1'!#REF!,18,FALSE)</f>
        <v>#REF!</v>
      </c>
      <c r="G25" s="158" t="e">
        <f t="shared" si="6"/>
        <v>#REF!</v>
      </c>
      <c r="H25" s="159" t="e">
        <f t="shared" si="7"/>
        <v>#REF!</v>
      </c>
      <c r="I25" s="159" t="e">
        <f t="shared" si="8"/>
        <v>#REF!</v>
      </c>
    </row>
    <row r="26" spans="1:11" s="151" customFormat="1" ht="12.75" x14ac:dyDescent="0.2">
      <c r="A26" s="175"/>
      <c r="B26" s="176" t="e">
        <f t="shared" si="4"/>
        <v>#REF!</v>
      </c>
      <c r="C26" s="157" t="e">
        <f t="shared" si="4"/>
        <v>#REF!</v>
      </c>
      <c r="D26" s="158" t="e">
        <f t="shared" si="5"/>
        <v>#REF!</v>
      </c>
      <c r="E26" s="159" t="e">
        <f>VLOOKUP(F19,'sheet 1'!#REF!,21,FALSE)</f>
        <v>#REF!</v>
      </c>
      <c r="F26" s="159" t="e">
        <f>VLOOKUP(F19,'sheet 1'!#REF!,22,FALSE)</f>
        <v>#REF!</v>
      </c>
      <c r="G26" s="158" t="e">
        <f t="shared" si="6"/>
        <v>#REF!</v>
      </c>
      <c r="H26" s="159" t="e">
        <f t="shared" si="7"/>
        <v>#REF!</v>
      </c>
      <c r="I26" s="159" t="e">
        <f t="shared" si="8"/>
        <v>#REF!</v>
      </c>
    </row>
    <row r="27" spans="1:11" s="151" customFormat="1" ht="15" x14ac:dyDescent="0.2">
      <c r="B27" s="160" t="s">
        <v>95</v>
      </c>
      <c r="C27" s="155" t="e">
        <f>SUM(C22:C26)</f>
        <v>#REF!</v>
      </c>
      <c r="D27" s="155" t="e">
        <f>SUM(D22:D26)</f>
        <v>#REF!</v>
      </c>
      <c r="E27" s="174" t="e">
        <f>SUM(E22:E26)</f>
        <v>#REF!</v>
      </c>
      <c r="I27" s="161" t="e">
        <f>SUM(I22:I26)</f>
        <v>#REF!</v>
      </c>
    </row>
    <row r="28" spans="1:11" s="151" customFormat="1" ht="15" x14ac:dyDescent="0.2">
      <c r="C28" s="162"/>
      <c r="D28" s="162"/>
      <c r="E28" s="162"/>
      <c r="I28" s="163"/>
      <c r="K28" s="164"/>
    </row>
    <row r="29" spans="1:11" s="151" customFormat="1" ht="18" x14ac:dyDescent="0.25">
      <c r="B29" s="165" t="s">
        <v>108</v>
      </c>
      <c r="C29" s="166" t="e">
        <f>I27/C27</f>
        <v>#REF!</v>
      </c>
      <c r="D29" s="167"/>
      <c r="E29" s="167"/>
      <c r="K29" s="168" t="e">
        <f>(F22+F23+F24+F25+F26)*100/500</f>
        <v>#REF!</v>
      </c>
    </row>
    <row r="30" spans="1:11" s="151" customFormat="1" ht="18" x14ac:dyDescent="0.25">
      <c r="B30" s="165" t="s">
        <v>58</v>
      </c>
      <c r="C30" s="169" t="e">
        <f>IF(C29&gt;3.99,"A",IF(C29&gt;3.49,"B+",IF(C29&gt;2.99,"B",IF(C29&gt;2.49,"C+",IF(C29&gt;1.99,"C",IF(C29&gt;1.49,"D+",IF(C29&gt;0.99,"D","F")))))))</f>
        <v>#REF!</v>
      </c>
      <c r="D30" s="170"/>
      <c r="E30" s="170"/>
    </row>
    <row r="31" spans="1:11" s="151" customFormat="1" ht="18.75" customHeight="1" x14ac:dyDescent="0.2">
      <c r="B31" s="171" t="s">
        <v>59</v>
      </c>
      <c r="C31" s="172" t="e">
        <f>IF(C29&gt;3.99,"Excellent",IF(C29&gt;3.49,"Very Good",IF(C29&gt;2.99,"Good",IF(C29&gt;2.49,"Fair",IF(C29&gt;1.99,"Fair",IF(C29&gt;1.49,"Pass (Probation)",IF(C29&gt;0.99,"Pass (Probation)","Fail")))))))</f>
        <v>#REF!</v>
      </c>
      <c r="D31" s="170"/>
      <c r="E31" s="170"/>
    </row>
  </sheetData>
  <mergeCells count="7">
    <mergeCell ref="D20:E20"/>
    <mergeCell ref="B1:I1"/>
    <mergeCell ref="B2:I2"/>
    <mergeCell ref="B3:I3"/>
    <mergeCell ref="D5:E5"/>
    <mergeCell ref="D19:E19"/>
    <mergeCell ref="D6:E6"/>
  </mergeCells>
  <conditionalFormatting sqref="G8:G12">
    <cfRule type="containsText" dxfId="9" priority="199" operator="containsText" text="F">
      <formula>NOT(ISERROR(SEARCH("F",G8)))</formula>
    </cfRule>
  </conditionalFormatting>
  <conditionalFormatting sqref="G22:G26">
    <cfRule type="containsText" dxfId="8" priority="99" operator="containsText" text="F">
      <formula>NOT(ISERROR(SEARCH("F",G22)))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7"/>
  <sheetViews>
    <sheetView view="pageBreakPreview" zoomScaleNormal="100" zoomScaleSheetLayoutView="100" workbookViewId="0">
      <selection activeCell="V10" sqref="V10:V160"/>
    </sheetView>
  </sheetViews>
  <sheetFormatPr defaultRowHeight="15" x14ac:dyDescent="0.25"/>
  <cols>
    <col min="1" max="1" width="1.5703125" customWidth="1"/>
    <col min="2" max="2" width="22.28515625" customWidth="1"/>
    <col min="3" max="3" width="6.42578125" customWidth="1"/>
    <col min="4" max="4" width="7.5703125" customWidth="1"/>
    <col min="5" max="5" width="12.42578125" customWidth="1"/>
    <col min="6" max="7" width="10" customWidth="1"/>
    <col min="8" max="8" width="9.28515625" customWidth="1"/>
    <col min="9" max="9" width="9" customWidth="1"/>
    <col min="10" max="10" width="10.5703125" customWidth="1"/>
    <col min="11" max="13" width="0" hidden="1" customWidth="1"/>
    <col min="14" max="16" width="10.5703125" hidden="1" customWidth="1"/>
    <col min="17" max="17" width="31.42578125" bestFit="1" customWidth="1"/>
    <col min="18" max="22" width="10.5703125" customWidth="1"/>
    <col min="257" max="257" width="1.5703125" customWidth="1"/>
    <col min="258" max="258" width="22.28515625" customWidth="1"/>
    <col min="259" max="259" width="6.42578125" customWidth="1"/>
    <col min="260" max="260" width="7.5703125" customWidth="1"/>
    <col min="261" max="261" width="12.42578125" customWidth="1"/>
    <col min="262" max="263" width="10" customWidth="1"/>
    <col min="264" max="264" width="9.28515625" customWidth="1"/>
    <col min="265" max="265" width="9" customWidth="1"/>
    <col min="266" max="266" width="10.5703125" customWidth="1"/>
    <col min="267" max="269" width="0" hidden="1" customWidth="1"/>
    <col min="270" max="278" width="10.5703125" customWidth="1"/>
    <col min="513" max="513" width="1.5703125" customWidth="1"/>
    <col min="514" max="514" width="22.28515625" customWidth="1"/>
    <col min="515" max="515" width="6.42578125" customWidth="1"/>
    <col min="516" max="516" width="7.5703125" customWidth="1"/>
    <col min="517" max="517" width="12.42578125" customWidth="1"/>
    <col min="518" max="519" width="10" customWidth="1"/>
    <col min="520" max="520" width="9.28515625" customWidth="1"/>
    <col min="521" max="521" width="9" customWidth="1"/>
    <col min="522" max="522" width="10.5703125" customWidth="1"/>
    <col min="523" max="525" width="0" hidden="1" customWidth="1"/>
    <col min="526" max="534" width="10.5703125" customWidth="1"/>
    <col min="769" max="769" width="1.5703125" customWidth="1"/>
    <col min="770" max="770" width="22.28515625" customWidth="1"/>
    <col min="771" max="771" width="6.42578125" customWidth="1"/>
    <col min="772" max="772" width="7.5703125" customWidth="1"/>
    <col min="773" max="773" width="12.42578125" customWidth="1"/>
    <col min="774" max="775" width="10" customWidth="1"/>
    <col min="776" max="776" width="9.28515625" customWidth="1"/>
    <col min="777" max="777" width="9" customWidth="1"/>
    <col min="778" max="778" width="10.5703125" customWidth="1"/>
    <col min="779" max="781" width="0" hidden="1" customWidth="1"/>
    <col min="782" max="790" width="10.5703125" customWidth="1"/>
    <col min="1025" max="1025" width="1.5703125" customWidth="1"/>
    <col min="1026" max="1026" width="22.28515625" customWidth="1"/>
    <col min="1027" max="1027" width="6.42578125" customWidth="1"/>
    <col min="1028" max="1028" width="7.5703125" customWidth="1"/>
    <col min="1029" max="1029" width="12.42578125" customWidth="1"/>
    <col min="1030" max="1031" width="10" customWidth="1"/>
    <col min="1032" max="1032" width="9.28515625" customWidth="1"/>
    <col min="1033" max="1033" width="9" customWidth="1"/>
    <col min="1034" max="1034" width="10.5703125" customWidth="1"/>
    <col min="1035" max="1037" width="0" hidden="1" customWidth="1"/>
    <col min="1038" max="1046" width="10.5703125" customWidth="1"/>
    <col min="1281" max="1281" width="1.5703125" customWidth="1"/>
    <col min="1282" max="1282" width="22.28515625" customWidth="1"/>
    <col min="1283" max="1283" width="6.42578125" customWidth="1"/>
    <col min="1284" max="1284" width="7.5703125" customWidth="1"/>
    <col min="1285" max="1285" width="12.42578125" customWidth="1"/>
    <col min="1286" max="1287" width="10" customWidth="1"/>
    <col min="1288" max="1288" width="9.28515625" customWidth="1"/>
    <col min="1289" max="1289" width="9" customWidth="1"/>
    <col min="1290" max="1290" width="10.5703125" customWidth="1"/>
    <col min="1291" max="1293" width="0" hidden="1" customWidth="1"/>
    <col min="1294" max="1302" width="10.5703125" customWidth="1"/>
    <col min="1537" max="1537" width="1.5703125" customWidth="1"/>
    <col min="1538" max="1538" width="22.28515625" customWidth="1"/>
    <col min="1539" max="1539" width="6.42578125" customWidth="1"/>
    <col min="1540" max="1540" width="7.5703125" customWidth="1"/>
    <col min="1541" max="1541" width="12.42578125" customWidth="1"/>
    <col min="1542" max="1543" width="10" customWidth="1"/>
    <col min="1544" max="1544" width="9.28515625" customWidth="1"/>
    <col min="1545" max="1545" width="9" customWidth="1"/>
    <col min="1546" max="1546" width="10.5703125" customWidth="1"/>
    <col min="1547" max="1549" width="0" hidden="1" customWidth="1"/>
    <col min="1550" max="1558" width="10.5703125" customWidth="1"/>
    <col min="1793" max="1793" width="1.5703125" customWidth="1"/>
    <col min="1794" max="1794" width="22.28515625" customWidth="1"/>
    <col min="1795" max="1795" width="6.42578125" customWidth="1"/>
    <col min="1796" max="1796" width="7.5703125" customWidth="1"/>
    <col min="1797" max="1797" width="12.42578125" customWidth="1"/>
    <col min="1798" max="1799" width="10" customWidth="1"/>
    <col min="1800" max="1800" width="9.28515625" customWidth="1"/>
    <col min="1801" max="1801" width="9" customWidth="1"/>
    <col min="1802" max="1802" width="10.5703125" customWidth="1"/>
    <col min="1803" max="1805" width="0" hidden="1" customWidth="1"/>
    <col min="1806" max="1814" width="10.5703125" customWidth="1"/>
    <col min="2049" max="2049" width="1.5703125" customWidth="1"/>
    <col min="2050" max="2050" width="22.28515625" customWidth="1"/>
    <col min="2051" max="2051" width="6.42578125" customWidth="1"/>
    <col min="2052" max="2052" width="7.5703125" customWidth="1"/>
    <col min="2053" max="2053" width="12.42578125" customWidth="1"/>
    <col min="2054" max="2055" width="10" customWidth="1"/>
    <col min="2056" max="2056" width="9.28515625" customWidth="1"/>
    <col min="2057" max="2057" width="9" customWidth="1"/>
    <col min="2058" max="2058" width="10.5703125" customWidth="1"/>
    <col min="2059" max="2061" width="0" hidden="1" customWidth="1"/>
    <col min="2062" max="2070" width="10.5703125" customWidth="1"/>
    <col min="2305" max="2305" width="1.5703125" customWidth="1"/>
    <col min="2306" max="2306" width="22.28515625" customWidth="1"/>
    <col min="2307" max="2307" width="6.42578125" customWidth="1"/>
    <col min="2308" max="2308" width="7.5703125" customWidth="1"/>
    <col min="2309" max="2309" width="12.42578125" customWidth="1"/>
    <col min="2310" max="2311" width="10" customWidth="1"/>
    <col min="2312" max="2312" width="9.28515625" customWidth="1"/>
    <col min="2313" max="2313" width="9" customWidth="1"/>
    <col min="2314" max="2314" width="10.5703125" customWidth="1"/>
    <col min="2315" max="2317" width="0" hidden="1" customWidth="1"/>
    <col min="2318" max="2326" width="10.5703125" customWidth="1"/>
    <col min="2561" max="2561" width="1.5703125" customWidth="1"/>
    <col min="2562" max="2562" width="22.28515625" customWidth="1"/>
    <col min="2563" max="2563" width="6.42578125" customWidth="1"/>
    <col min="2564" max="2564" width="7.5703125" customWidth="1"/>
    <col min="2565" max="2565" width="12.42578125" customWidth="1"/>
    <col min="2566" max="2567" width="10" customWidth="1"/>
    <col min="2568" max="2568" width="9.28515625" customWidth="1"/>
    <col min="2569" max="2569" width="9" customWidth="1"/>
    <col min="2570" max="2570" width="10.5703125" customWidth="1"/>
    <col min="2571" max="2573" width="0" hidden="1" customWidth="1"/>
    <col min="2574" max="2582" width="10.5703125" customWidth="1"/>
    <col min="2817" max="2817" width="1.5703125" customWidth="1"/>
    <col min="2818" max="2818" width="22.28515625" customWidth="1"/>
    <col min="2819" max="2819" width="6.42578125" customWidth="1"/>
    <col min="2820" max="2820" width="7.5703125" customWidth="1"/>
    <col min="2821" max="2821" width="12.42578125" customWidth="1"/>
    <col min="2822" max="2823" width="10" customWidth="1"/>
    <col min="2824" max="2824" width="9.28515625" customWidth="1"/>
    <col min="2825" max="2825" width="9" customWidth="1"/>
    <col min="2826" max="2826" width="10.5703125" customWidth="1"/>
    <col min="2827" max="2829" width="0" hidden="1" customWidth="1"/>
    <col min="2830" max="2838" width="10.5703125" customWidth="1"/>
    <col min="3073" max="3073" width="1.5703125" customWidth="1"/>
    <col min="3074" max="3074" width="22.28515625" customWidth="1"/>
    <col min="3075" max="3075" width="6.42578125" customWidth="1"/>
    <col min="3076" max="3076" width="7.5703125" customWidth="1"/>
    <col min="3077" max="3077" width="12.42578125" customWidth="1"/>
    <col min="3078" max="3079" width="10" customWidth="1"/>
    <col min="3080" max="3080" width="9.28515625" customWidth="1"/>
    <col min="3081" max="3081" width="9" customWidth="1"/>
    <col min="3082" max="3082" width="10.5703125" customWidth="1"/>
    <col min="3083" max="3085" width="0" hidden="1" customWidth="1"/>
    <col min="3086" max="3094" width="10.5703125" customWidth="1"/>
    <col min="3329" max="3329" width="1.5703125" customWidth="1"/>
    <col min="3330" max="3330" width="22.28515625" customWidth="1"/>
    <col min="3331" max="3331" width="6.42578125" customWidth="1"/>
    <col min="3332" max="3332" width="7.5703125" customWidth="1"/>
    <col min="3333" max="3333" width="12.42578125" customWidth="1"/>
    <col min="3334" max="3335" width="10" customWidth="1"/>
    <col min="3336" max="3336" width="9.28515625" customWidth="1"/>
    <col min="3337" max="3337" width="9" customWidth="1"/>
    <col min="3338" max="3338" width="10.5703125" customWidth="1"/>
    <col min="3339" max="3341" width="0" hidden="1" customWidth="1"/>
    <col min="3342" max="3350" width="10.5703125" customWidth="1"/>
    <col min="3585" max="3585" width="1.5703125" customWidth="1"/>
    <col min="3586" max="3586" width="22.28515625" customWidth="1"/>
    <col min="3587" max="3587" width="6.42578125" customWidth="1"/>
    <col min="3588" max="3588" width="7.5703125" customWidth="1"/>
    <col min="3589" max="3589" width="12.42578125" customWidth="1"/>
    <col min="3590" max="3591" width="10" customWidth="1"/>
    <col min="3592" max="3592" width="9.28515625" customWidth="1"/>
    <col min="3593" max="3593" width="9" customWidth="1"/>
    <col min="3594" max="3594" width="10.5703125" customWidth="1"/>
    <col min="3595" max="3597" width="0" hidden="1" customWidth="1"/>
    <col min="3598" max="3606" width="10.5703125" customWidth="1"/>
    <col min="3841" max="3841" width="1.5703125" customWidth="1"/>
    <col min="3842" max="3842" width="22.28515625" customWidth="1"/>
    <col min="3843" max="3843" width="6.42578125" customWidth="1"/>
    <col min="3844" max="3844" width="7.5703125" customWidth="1"/>
    <col min="3845" max="3845" width="12.42578125" customWidth="1"/>
    <col min="3846" max="3847" width="10" customWidth="1"/>
    <col min="3848" max="3848" width="9.28515625" customWidth="1"/>
    <col min="3849" max="3849" width="9" customWidth="1"/>
    <col min="3850" max="3850" width="10.5703125" customWidth="1"/>
    <col min="3851" max="3853" width="0" hidden="1" customWidth="1"/>
    <col min="3854" max="3862" width="10.5703125" customWidth="1"/>
    <col min="4097" max="4097" width="1.5703125" customWidth="1"/>
    <col min="4098" max="4098" width="22.28515625" customWidth="1"/>
    <col min="4099" max="4099" width="6.42578125" customWidth="1"/>
    <col min="4100" max="4100" width="7.5703125" customWidth="1"/>
    <col min="4101" max="4101" width="12.42578125" customWidth="1"/>
    <col min="4102" max="4103" width="10" customWidth="1"/>
    <col min="4104" max="4104" width="9.28515625" customWidth="1"/>
    <col min="4105" max="4105" width="9" customWidth="1"/>
    <col min="4106" max="4106" width="10.5703125" customWidth="1"/>
    <col min="4107" max="4109" width="0" hidden="1" customWidth="1"/>
    <col min="4110" max="4118" width="10.5703125" customWidth="1"/>
    <col min="4353" max="4353" width="1.5703125" customWidth="1"/>
    <col min="4354" max="4354" width="22.28515625" customWidth="1"/>
    <col min="4355" max="4355" width="6.42578125" customWidth="1"/>
    <col min="4356" max="4356" width="7.5703125" customWidth="1"/>
    <col min="4357" max="4357" width="12.42578125" customWidth="1"/>
    <col min="4358" max="4359" width="10" customWidth="1"/>
    <col min="4360" max="4360" width="9.28515625" customWidth="1"/>
    <col min="4361" max="4361" width="9" customWidth="1"/>
    <col min="4362" max="4362" width="10.5703125" customWidth="1"/>
    <col min="4363" max="4365" width="0" hidden="1" customWidth="1"/>
    <col min="4366" max="4374" width="10.5703125" customWidth="1"/>
    <col min="4609" max="4609" width="1.5703125" customWidth="1"/>
    <col min="4610" max="4610" width="22.28515625" customWidth="1"/>
    <col min="4611" max="4611" width="6.42578125" customWidth="1"/>
    <col min="4612" max="4612" width="7.5703125" customWidth="1"/>
    <col min="4613" max="4613" width="12.42578125" customWidth="1"/>
    <col min="4614" max="4615" width="10" customWidth="1"/>
    <col min="4616" max="4616" width="9.28515625" customWidth="1"/>
    <col min="4617" max="4617" width="9" customWidth="1"/>
    <col min="4618" max="4618" width="10.5703125" customWidth="1"/>
    <col min="4619" max="4621" width="0" hidden="1" customWidth="1"/>
    <col min="4622" max="4630" width="10.5703125" customWidth="1"/>
    <col min="4865" max="4865" width="1.5703125" customWidth="1"/>
    <col min="4866" max="4866" width="22.28515625" customWidth="1"/>
    <col min="4867" max="4867" width="6.42578125" customWidth="1"/>
    <col min="4868" max="4868" width="7.5703125" customWidth="1"/>
    <col min="4869" max="4869" width="12.42578125" customWidth="1"/>
    <col min="4870" max="4871" width="10" customWidth="1"/>
    <col min="4872" max="4872" width="9.28515625" customWidth="1"/>
    <col min="4873" max="4873" width="9" customWidth="1"/>
    <col min="4874" max="4874" width="10.5703125" customWidth="1"/>
    <col min="4875" max="4877" width="0" hidden="1" customWidth="1"/>
    <col min="4878" max="4886" width="10.5703125" customWidth="1"/>
    <col min="5121" max="5121" width="1.5703125" customWidth="1"/>
    <col min="5122" max="5122" width="22.28515625" customWidth="1"/>
    <col min="5123" max="5123" width="6.42578125" customWidth="1"/>
    <col min="5124" max="5124" width="7.5703125" customWidth="1"/>
    <col min="5125" max="5125" width="12.42578125" customWidth="1"/>
    <col min="5126" max="5127" width="10" customWidth="1"/>
    <col min="5128" max="5128" width="9.28515625" customWidth="1"/>
    <col min="5129" max="5129" width="9" customWidth="1"/>
    <col min="5130" max="5130" width="10.5703125" customWidth="1"/>
    <col min="5131" max="5133" width="0" hidden="1" customWidth="1"/>
    <col min="5134" max="5142" width="10.5703125" customWidth="1"/>
    <col min="5377" max="5377" width="1.5703125" customWidth="1"/>
    <col min="5378" max="5378" width="22.28515625" customWidth="1"/>
    <col min="5379" max="5379" width="6.42578125" customWidth="1"/>
    <col min="5380" max="5380" width="7.5703125" customWidth="1"/>
    <col min="5381" max="5381" width="12.42578125" customWidth="1"/>
    <col min="5382" max="5383" width="10" customWidth="1"/>
    <col min="5384" max="5384" width="9.28515625" customWidth="1"/>
    <col min="5385" max="5385" width="9" customWidth="1"/>
    <col min="5386" max="5386" width="10.5703125" customWidth="1"/>
    <col min="5387" max="5389" width="0" hidden="1" customWidth="1"/>
    <col min="5390" max="5398" width="10.5703125" customWidth="1"/>
    <col min="5633" max="5633" width="1.5703125" customWidth="1"/>
    <col min="5634" max="5634" width="22.28515625" customWidth="1"/>
    <col min="5635" max="5635" width="6.42578125" customWidth="1"/>
    <col min="5636" max="5636" width="7.5703125" customWidth="1"/>
    <col min="5637" max="5637" width="12.42578125" customWidth="1"/>
    <col min="5638" max="5639" width="10" customWidth="1"/>
    <col min="5640" max="5640" width="9.28515625" customWidth="1"/>
    <col min="5641" max="5641" width="9" customWidth="1"/>
    <col min="5642" max="5642" width="10.5703125" customWidth="1"/>
    <col min="5643" max="5645" width="0" hidden="1" customWidth="1"/>
    <col min="5646" max="5654" width="10.5703125" customWidth="1"/>
    <col min="5889" max="5889" width="1.5703125" customWidth="1"/>
    <col min="5890" max="5890" width="22.28515625" customWidth="1"/>
    <col min="5891" max="5891" width="6.42578125" customWidth="1"/>
    <col min="5892" max="5892" width="7.5703125" customWidth="1"/>
    <col min="5893" max="5893" width="12.42578125" customWidth="1"/>
    <col min="5894" max="5895" width="10" customWidth="1"/>
    <col min="5896" max="5896" width="9.28515625" customWidth="1"/>
    <col min="5897" max="5897" width="9" customWidth="1"/>
    <col min="5898" max="5898" width="10.5703125" customWidth="1"/>
    <col min="5899" max="5901" width="0" hidden="1" customWidth="1"/>
    <col min="5902" max="5910" width="10.5703125" customWidth="1"/>
    <col min="6145" max="6145" width="1.5703125" customWidth="1"/>
    <col min="6146" max="6146" width="22.28515625" customWidth="1"/>
    <col min="6147" max="6147" width="6.42578125" customWidth="1"/>
    <col min="6148" max="6148" width="7.5703125" customWidth="1"/>
    <col min="6149" max="6149" width="12.42578125" customWidth="1"/>
    <col min="6150" max="6151" width="10" customWidth="1"/>
    <col min="6152" max="6152" width="9.28515625" customWidth="1"/>
    <col min="6153" max="6153" width="9" customWidth="1"/>
    <col min="6154" max="6154" width="10.5703125" customWidth="1"/>
    <col min="6155" max="6157" width="0" hidden="1" customWidth="1"/>
    <col min="6158" max="6166" width="10.5703125" customWidth="1"/>
    <col min="6401" max="6401" width="1.5703125" customWidth="1"/>
    <col min="6402" max="6402" width="22.28515625" customWidth="1"/>
    <col min="6403" max="6403" width="6.42578125" customWidth="1"/>
    <col min="6404" max="6404" width="7.5703125" customWidth="1"/>
    <col min="6405" max="6405" width="12.42578125" customWidth="1"/>
    <col min="6406" max="6407" width="10" customWidth="1"/>
    <col min="6408" max="6408" width="9.28515625" customWidth="1"/>
    <col min="6409" max="6409" width="9" customWidth="1"/>
    <col min="6410" max="6410" width="10.5703125" customWidth="1"/>
    <col min="6411" max="6413" width="0" hidden="1" customWidth="1"/>
    <col min="6414" max="6422" width="10.5703125" customWidth="1"/>
    <col min="6657" max="6657" width="1.5703125" customWidth="1"/>
    <col min="6658" max="6658" width="22.28515625" customWidth="1"/>
    <col min="6659" max="6659" width="6.42578125" customWidth="1"/>
    <col min="6660" max="6660" width="7.5703125" customWidth="1"/>
    <col min="6661" max="6661" width="12.42578125" customWidth="1"/>
    <col min="6662" max="6663" width="10" customWidth="1"/>
    <col min="6664" max="6664" width="9.28515625" customWidth="1"/>
    <col min="6665" max="6665" width="9" customWidth="1"/>
    <col min="6666" max="6666" width="10.5703125" customWidth="1"/>
    <col min="6667" max="6669" width="0" hidden="1" customWidth="1"/>
    <col min="6670" max="6678" width="10.5703125" customWidth="1"/>
    <col min="6913" max="6913" width="1.5703125" customWidth="1"/>
    <col min="6914" max="6914" width="22.28515625" customWidth="1"/>
    <col min="6915" max="6915" width="6.42578125" customWidth="1"/>
    <col min="6916" max="6916" width="7.5703125" customWidth="1"/>
    <col min="6917" max="6917" width="12.42578125" customWidth="1"/>
    <col min="6918" max="6919" width="10" customWidth="1"/>
    <col min="6920" max="6920" width="9.28515625" customWidth="1"/>
    <col min="6921" max="6921" width="9" customWidth="1"/>
    <col min="6922" max="6922" width="10.5703125" customWidth="1"/>
    <col min="6923" max="6925" width="0" hidden="1" customWidth="1"/>
    <col min="6926" max="6934" width="10.5703125" customWidth="1"/>
    <col min="7169" max="7169" width="1.5703125" customWidth="1"/>
    <col min="7170" max="7170" width="22.28515625" customWidth="1"/>
    <col min="7171" max="7171" width="6.42578125" customWidth="1"/>
    <col min="7172" max="7172" width="7.5703125" customWidth="1"/>
    <col min="7173" max="7173" width="12.42578125" customWidth="1"/>
    <col min="7174" max="7175" width="10" customWidth="1"/>
    <col min="7176" max="7176" width="9.28515625" customWidth="1"/>
    <col min="7177" max="7177" width="9" customWidth="1"/>
    <col min="7178" max="7178" width="10.5703125" customWidth="1"/>
    <col min="7179" max="7181" width="0" hidden="1" customWidth="1"/>
    <col min="7182" max="7190" width="10.5703125" customWidth="1"/>
    <col min="7425" max="7425" width="1.5703125" customWidth="1"/>
    <col min="7426" max="7426" width="22.28515625" customWidth="1"/>
    <col min="7427" max="7427" width="6.42578125" customWidth="1"/>
    <col min="7428" max="7428" width="7.5703125" customWidth="1"/>
    <col min="7429" max="7429" width="12.42578125" customWidth="1"/>
    <col min="7430" max="7431" width="10" customWidth="1"/>
    <col min="7432" max="7432" width="9.28515625" customWidth="1"/>
    <col min="7433" max="7433" width="9" customWidth="1"/>
    <col min="7434" max="7434" width="10.5703125" customWidth="1"/>
    <col min="7435" max="7437" width="0" hidden="1" customWidth="1"/>
    <col min="7438" max="7446" width="10.5703125" customWidth="1"/>
    <col min="7681" max="7681" width="1.5703125" customWidth="1"/>
    <col min="7682" max="7682" width="22.28515625" customWidth="1"/>
    <col min="7683" max="7683" width="6.42578125" customWidth="1"/>
    <col min="7684" max="7684" width="7.5703125" customWidth="1"/>
    <col min="7685" max="7685" width="12.42578125" customWidth="1"/>
    <col min="7686" max="7687" width="10" customWidth="1"/>
    <col min="7688" max="7688" width="9.28515625" customWidth="1"/>
    <col min="7689" max="7689" width="9" customWidth="1"/>
    <col min="7690" max="7690" width="10.5703125" customWidth="1"/>
    <col min="7691" max="7693" width="0" hidden="1" customWidth="1"/>
    <col min="7694" max="7702" width="10.5703125" customWidth="1"/>
    <col min="7937" max="7937" width="1.5703125" customWidth="1"/>
    <col min="7938" max="7938" width="22.28515625" customWidth="1"/>
    <col min="7939" max="7939" width="6.42578125" customWidth="1"/>
    <col min="7940" max="7940" width="7.5703125" customWidth="1"/>
    <col min="7941" max="7941" width="12.42578125" customWidth="1"/>
    <col min="7942" max="7943" width="10" customWidth="1"/>
    <col min="7944" max="7944" width="9.28515625" customWidth="1"/>
    <col min="7945" max="7945" width="9" customWidth="1"/>
    <col min="7946" max="7946" width="10.5703125" customWidth="1"/>
    <col min="7947" max="7949" width="0" hidden="1" customWidth="1"/>
    <col min="7950" max="7958" width="10.5703125" customWidth="1"/>
    <col min="8193" max="8193" width="1.5703125" customWidth="1"/>
    <col min="8194" max="8194" width="22.28515625" customWidth="1"/>
    <col min="8195" max="8195" width="6.42578125" customWidth="1"/>
    <col min="8196" max="8196" width="7.5703125" customWidth="1"/>
    <col min="8197" max="8197" width="12.42578125" customWidth="1"/>
    <col min="8198" max="8199" width="10" customWidth="1"/>
    <col min="8200" max="8200" width="9.28515625" customWidth="1"/>
    <col min="8201" max="8201" width="9" customWidth="1"/>
    <col min="8202" max="8202" width="10.5703125" customWidth="1"/>
    <col min="8203" max="8205" width="0" hidden="1" customWidth="1"/>
    <col min="8206" max="8214" width="10.5703125" customWidth="1"/>
    <col min="8449" max="8449" width="1.5703125" customWidth="1"/>
    <col min="8450" max="8450" width="22.28515625" customWidth="1"/>
    <col min="8451" max="8451" width="6.42578125" customWidth="1"/>
    <col min="8452" max="8452" width="7.5703125" customWidth="1"/>
    <col min="8453" max="8453" width="12.42578125" customWidth="1"/>
    <col min="8454" max="8455" width="10" customWidth="1"/>
    <col min="8456" max="8456" width="9.28515625" customWidth="1"/>
    <col min="8457" max="8457" width="9" customWidth="1"/>
    <col min="8458" max="8458" width="10.5703125" customWidth="1"/>
    <col min="8459" max="8461" width="0" hidden="1" customWidth="1"/>
    <col min="8462" max="8470" width="10.5703125" customWidth="1"/>
    <col min="8705" max="8705" width="1.5703125" customWidth="1"/>
    <col min="8706" max="8706" width="22.28515625" customWidth="1"/>
    <col min="8707" max="8707" width="6.42578125" customWidth="1"/>
    <col min="8708" max="8708" width="7.5703125" customWidth="1"/>
    <col min="8709" max="8709" width="12.42578125" customWidth="1"/>
    <col min="8710" max="8711" width="10" customWidth="1"/>
    <col min="8712" max="8712" width="9.28515625" customWidth="1"/>
    <col min="8713" max="8713" width="9" customWidth="1"/>
    <col min="8714" max="8714" width="10.5703125" customWidth="1"/>
    <col min="8715" max="8717" width="0" hidden="1" customWidth="1"/>
    <col min="8718" max="8726" width="10.5703125" customWidth="1"/>
    <col min="8961" max="8961" width="1.5703125" customWidth="1"/>
    <col min="8962" max="8962" width="22.28515625" customWidth="1"/>
    <col min="8963" max="8963" width="6.42578125" customWidth="1"/>
    <col min="8964" max="8964" width="7.5703125" customWidth="1"/>
    <col min="8965" max="8965" width="12.42578125" customWidth="1"/>
    <col min="8966" max="8967" width="10" customWidth="1"/>
    <col min="8968" max="8968" width="9.28515625" customWidth="1"/>
    <col min="8969" max="8969" width="9" customWidth="1"/>
    <col min="8970" max="8970" width="10.5703125" customWidth="1"/>
    <col min="8971" max="8973" width="0" hidden="1" customWidth="1"/>
    <col min="8974" max="8982" width="10.5703125" customWidth="1"/>
    <col min="9217" max="9217" width="1.5703125" customWidth="1"/>
    <col min="9218" max="9218" width="22.28515625" customWidth="1"/>
    <col min="9219" max="9219" width="6.42578125" customWidth="1"/>
    <col min="9220" max="9220" width="7.5703125" customWidth="1"/>
    <col min="9221" max="9221" width="12.42578125" customWidth="1"/>
    <col min="9222" max="9223" width="10" customWidth="1"/>
    <col min="9224" max="9224" width="9.28515625" customWidth="1"/>
    <col min="9225" max="9225" width="9" customWidth="1"/>
    <col min="9226" max="9226" width="10.5703125" customWidth="1"/>
    <col min="9227" max="9229" width="0" hidden="1" customWidth="1"/>
    <col min="9230" max="9238" width="10.5703125" customWidth="1"/>
    <col min="9473" max="9473" width="1.5703125" customWidth="1"/>
    <col min="9474" max="9474" width="22.28515625" customWidth="1"/>
    <col min="9475" max="9475" width="6.42578125" customWidth="1"/>
    <col min="9476" max="9476" width="7.5703125" customWidth="1"/>
    <col min="9477" max="9477" width="12.42578125" customWidth="1"/>
    <col min="9478" max="9479" width="10" customWidth="1"/>
    <col min="9480" max="9480" width="9.28515625" customWidth="1"/>
    <col min="9481" max="9481" width="9" customWidth="1"/>
    <col min="9482" max="9482" width="10.5703125" customWidth="1"/>
    <col min="9483" max="9485" width="0" hidden="1" customWidth="1"/>
    <col min="9486" max="9494" width="10.5703125" customWidth="1"/>
    <col min="9729" max="9729" width="1.5703125" customWidth="1"/>
    <col min="9730" max="9730" width="22.28515625" customWidth="1"/>
    <col min="9731" max="9731" width="6.42578125" customWidth="1"/>
    <col min="9732" max="9732" width="7.5703125" customWidth="1"/>
    <col min="9733" max="9733" width="12.42578125" customWidth="1"/>
    <col min="9734" max="9735" width="10" customWidth="1"/>
    <col min="9736" max="9736" width="9.28515625" customWidth="1"/>
    <col min="9737" max="9737" width="9" customWidth="1"/>
    <col min="9738" max="9738" width="10.5703125" customWidth="1"/>
    <col min="9739" max="9741" width="0" hidden="1" customWidth="1"/>
    <col min="9742" max="9750" width="10.5703125" customWidth="1"/>
    <col min="9985" max="9985" width="1.5703125" customWidth="1"/>
    <col min="9986" max="9986" width="22.28515625" customWidth="1"/>
    <col min="9987" max="9987" width="6.42578125" customWidth="1"/>
    <col min="9988" max="9988" width="7.5703125" customWidth="1"/>
    <col min="9989" max="9989" width="12.42578125" customWidth="1"/>
    <col min="9990" max="9991" width="10" customWidth="1"/>
    <col min="9992" max="9992" width="9.28515625" customWidth="1"/>
    <col min="9993" max="9993" width="9" customWidth="1"/>
    <col min="9994" max="9994" width="10.5703125" customWidth="1"/>
    <col min="9995" max="9997" width="0" hidden="1" customWidth="1"/>
    <col min="9998" max="10006" width="10.5703125" customWidth="1"/>
    <col min="10241" max="10241" width="1.5703125" customWidth="1"/>
    <col min="10242" max="10242" width="22.28515625" customWidth="1"/>
    <col min="10243" max="10243" width="6.42578125" customWidth="1"/>
    <col min="10244" max="10244" width="7.5703125" customWidth="1"/>
    <col min="10245" max="10245" width="12.42578125" customWidth="1"/>
    <col min="10246" max="10247" width="10" customWidth="1"/>
    <col min="10248" max="10248" width="9.28515625" customWidth="1"/>
    <col min="10249" max="10249" width="9" customWidth="1"/>
    <col min="10250" max="10250" width="10.5703125" customWidth="1"/>
    <col min="10251" max="10253" width="0" hidden="1" customWidth="1"/>
    <col min="10254" max="10262" width="10.5703125" customWidth="1"/>
    <col min="10497" max="10497" width="1.5703125" customWidth="1"/>
    <col min="10498" max="10498" width="22.28515625" customWidth="1"/>
    <col min="10499" max="10499" width="6.42578125" customWidth="1"/>
    <col min="10500" max="10500" width="7.5703125" customWidth="1"/>
    <col min="10501" max="10501" width="12.42578125" customWidth="1"/>
    <col min="10502" max="10503" width="10" customWidth="1"/>
    <col min="10504" max="10504" width="9.28515625" customWidth="1"/>
    <col min="10505" max="10505" width="9" customWidth="1"/>
    <col min="10506" max="10506" width="10.5703125" customWidth="1"/>
    <col min="10507" max="10509" width="0" hidden="1" customWidth="1"/>
    <col min="10510" max="10518" width="10.5703125" customWidth="1"/>
    <col min="10753" max="10753" width="1.5703125" customWidth="1"/>
    <col min="10754" max="10754" width="22.28515625" customWidth="1"/>
    <col min="10755" max="10755" width="6.42578125" customWidth="1"/>
    <col min="10756" max="10756" width="7.5703125" customWidth="1"/>
    <col min="10757" max="10757" width="12.42578125" customWidth="1"/>
    <col min="10758" max="10759" width="10" customWidth="1"/>
    <col min="10760" max="10760" width="9.28515625" customWidth="1"/>
    <col min="10761" max="10761" width="9" customWidth="1"/>
    <col min="10762" max="10762" width="10.5703125" customWidth="1"/>
    <col min="10763" max="10765" width="0" hidden="1" customWidth="1"/>
    <col min="10766" max="10774" width="10.5703125" customWidth="1"/>
    <col min="11009" max="11009" width="1.5703125" customWidth="1"/>
    <col min="11010" max="11010" width="22.28515625" customWidth="1"/>
    <col min="11011" max="11011" width="6.42578125" customWidth="1"/>
    <col min="11012" max="11012" width="7.5703125" customWidth="1"/>
    <col min="11013" max="11013" width="12.42578125" customWidth="1"/>
    <col min="11014" max="11015" width="10" customWidth="1"/>
    <col min="11016" max="11016" width="9.28515625" customWidth="1"/>
    <col min="11017" max="11017" width="9" customWidth="1"/>
    <col min="11018" max="11018" width="10.5703125" customWidth="1"/>
    <col min="11019" max="11021" width="0" hidden="1" customWidth="1"/>
    <col min="11022" max="11030" width="10.5703125" customWidth="1"/>
    <col min="11265" max="11265" width="1.5703125" customWidth="1"/>
    <col min="11266" max="11266" width="22.28515625" customWidth="1"/>
    <col min="11267" max="11267" width="6.42578125" customWidth="1"/>
    <col min="11268" max="11268" width="7.5703125" customWidth="1"/>
    <col min="11269" max="11269" width="12.42578125" customWidth="1"/>
    <col min="11270" max="11271" width="10" customWidth="1"/>
    <col min="11272" max="11272" width="9.28515625" customWidth="1"/>
    <col min="11273" max="11273" width="9" customWidth="1"/>
    <col min="11274" max="11274" width="10.5703125" customWidth="1"/>
    <col min="11275" max="11277" width="0" hidden="1" customWidth="1"/>
    <col min="11278" max="11286" width="10.5703125" customWidth="1"/>
    <col min="11521" max="11521" width="1.5703125" customWidth="1"/>
    <col min="11522" max="11522" width="22.28515625" customWidth="1"/>
    <col min="11523" max="11523" width="6.42578125" customWidth="1"/>
    <col min="11524" max="11524" width="7.5703125" customWidth="1"/>
    <col min="11525" max="11525" width="12.42578125" customWidth="1"/>
    <col min="11526" max="11527" width="10" customWidth="1"/>
    <col min="11528" max="11528" width="9.28515625" customWidth="1"/>
    <col min="11529" max="11529" width="9" customWidth="1"/>
    <col min="11530" max="11530" width="10.5703125" customWidth="1"/>
    <col min="11531" max="11533" width="0" hidden="1" customWidth="1"/>
    <col min="11534" max="11542" width="10.5703125" customWidth="1"/>
    <col min="11777" max="11777" width="1.5703125" customWidth="1"/>
    <col min="11778" max="11778" width="22.28515625" customWidth="1"/>
    <col min="11779" max="11779" width="6.42578125" customWidth="1"/>
    <col min="11780" max="11780" width="7.5703125" customWidth="1"/>
    <col min="11781" max="11781" width="12.42578125" customWidth="1"/>
    <col min="11782" max="11783" width="10" customWidth="1"/>
    <col min="11784" max="11784" width="9.28515625" customWidth="1"/>
    <col min="11785" max="11785" width="9" customWidth="1"/>
    <col min="11786" max="11786" width="10.5703125" customWidth="1"/>
    <col min="11787" max="11789" width="0" hidden="1" customWidth="1"/>
    <col min="11790" max="11798" width="10.5703125" customWidth="1"/>
    <col min="12033" max="12033" width="1.5703125" customWidth="1"/>
    <col min="12034" max="12034" width="22.28515625" customWidth="1"/>
    <col min="12035" max="12035" width="6.42578125" customWidth="1"/>
    <col min="12036" max="12036" width="7.5703125" customWidth="1"/>
    <col min="12037" max="12037" width="12.42578125" customWidth="1"/>
    <col min="12038" max="12039" width="10" customWidth="1"/>
    <col min="12040" max="12040" width="9.28515625" customWidth="1"/>
    <col min="12041" max="12041" width="9" customWidth="1"/>
    <col min="12042" max="12042" width="10.5703125" customWidth="1"/>
    <col min="12043" max="12045" width="0" hidden="1" customWidth="1"/>
    <col min="12046" max="12054" width="10.5703125" customWidth="1"/>
    <col min="12289" max="12289" width="1.5703125" customWidth="1"/>
    <col min="12290" max="12290" width="22.28515625" customWidth="1"/>
    <col min="12291" max="12291" width="6.42578125" customWidth="1"/>
    <col min="12292" max="12292" width="7.5703125" customWidth="1"/>
    <col min="12293" max="12293" width="12.42578125" customWidth="1"/>
    <col min="12294" max="12295" width="10" customWidth="1"/>
    <col min="12296" max="12296" width="9.28515625" customWidth="1"/>
    <col min="12297" max="12297" width="9" customWidth="1"/>
    <col min="12298" max="12298" width="10.5703125" customWidth="1"/>
    <col min="12299" max="12301" width="0" hidden="1" customWidth="1"/>
    <col min="12302" max="12310" width="10.5703125" customWidth="1"/>
    <col min="12545" max="12545" width="1.5703125" customWidth="1"/>
    <col min="12546" max="12546" width="22.28515625" customWidth="1"/>
    <col min="12547" max="12547" width="6.42578125" customWidth="1"/>
    <col min="12548" max="12548" width="7.5703125" customWidth="1"/>
    <col min="12549" max="12549" width="12.42578125" customWidth="1"/>
    <col min="12550" max="12551" width="10" customWidth="1"/>
    <col min="12552" max="12552" width="9.28515625" customWidth="1"/>
    <col min="12553" max="12553" width="9" customWidth="1"/>
    <col min="12554" max="12554" width="10.5703125" customWidth="1"/>
    <col min="12555" max="12557" width="0" hidden="1" customWidth="1"/>
    <col min="12558" max="12566" width="10.5703125" customWidth="1"/>
    <col min="12801" max="12801" width="1.5703125" customWidth="1"/>
    <col min="12802" max="12802" width="22.28515625" customWidth="1"/>
    <col min="12803" max="12803" width="6.42578125" customWidth="1"/>
    <col min="12804" max="12804" width="7.5703125" customWidth="1"/>
    <col min="12805" max="12805" width="12.42578125" customWidth="1"/>
    <col min="12806" max="12807" width="10" customWidth="1"/>
    <col min="12808" max="12808" width="9.28515625" customWidth="1"/>
    <col min="12809" max="12809" width="9" customWidth="1"/>
    <col min="12810" max="12810" width="10.5703125" customWidth="1"/>
    <col min="12811" max="12813" width="0" hidden="1" customWidth="1"/>
    <col min="12814" max="12822" width="10.5703125" customWidth="1"/>
    <col min="13057" max="13057" width="1.5703125" customWidth="1"/>
    <col min="13058" max="13058" width="22.28515625" customWidth="1"/>
    <col min="13059" max="13059" width="6.42578125" customWidth="1"/>
    <col min="13060" max="13060" width="7.5703125" customWidth="1"/>
    <col min="13061" max="13061" width="12.42578125" customWidth="1"/>
    <col min="13062" max="13063" width="10" customWidth="1"/>
    <col min="13064" max="13064" width="9.28515625" customWidth="1"/>
    <col min="13065" max="13065" width="9" customWidth="1"/>
    <col min="13066" max="13066" width="10.5703125" customWidth="1"/>
    <col min="13067" max="13069" width="0" hidden="1" customWidth="1"/>
    <col min="13070" max="13078" width="10.5703125" customWidth="1"/>
    <col min="13313" max="13313" width="1.5703125" customWidth="1"/>
    <col min="13314" max="13314" width="22.28515625" customWidth="1"/>
    <col min="13315" max="13315" width="6.42578125" customWidth="1"/>
    <col min="13316" max="13316" width="7.5703125" customWidth="1"/>
    <col min="13317" max="13317" width="12.42578125" customWidth="1"/>
    <col min="13318" max="13319" width="10" customWidth="1"/>
    <col min="13320" max="13320" width="9.28515625" customWidth="1"/>
    <col min="13321" max="13321" width="9" customWidth="1"/>
    <col min="13322" max="13322" width="10.5703125" customWidth="1"/>
    <col min="13323" max="13325" width="0" hidden="1" customWidth="1"/>
    <col min="13326" max="13334" width="10.5703125" customWidth="1"/>
    <col min="13569" max="13569" width="1.5703125" customWidth="1"/>
    <col min="13570" max="13570" width="22.28515625" customWidth="1"/>
    <col min="13571" max="13571" width="6.42578125" customWidth="1"/>
    <col min="13572" max="13572" width="7.5703125" customWidth="1"/>
    <col min="13573" max="13573" width="12.42578125" customWidth="1"/>
    <col min="13574" max="13575" width="10" customWidth="1"/>
    <col min="13576" max="13576" width="9.28515625" customWidth="1"/>
    <col min="13577" max="13577" width="9" customWidth="1"/>
    <col min="13578" max="13578" width="10.5703125" customWidth="1"/>
    <col min="13579" max="13581" width="0" hidden="1" customWidth="1"/>
    <col min="13582" max="13590" width="10.5703125" customWidth="1"/>
    <col min="13825" max="13825" width="1.5703125" customWidth="1"/>
    <col min="13826" max="13826" width="22.28515625" customWidth="1"/>
    <col min="13827" max="13827" width="6.42578125" customWidth="1"/>
    <col min="13828" max="13828" width="7.5703125" customWidth="1"/>
    <col min="13829" max="13829" width="12.42578125" customWidth="1"/>
    <col min="13830" max="13831" width="10" customWidth="1"/>
    <col min="13832" max="13832" width="9.28515625" customWidth="1"/>
    <col min="13833" max="13833" width="9" customWidth="1"/>
    <col min="13834" max="13834" width="10.5703125" customWidth="1"/>
    <col min="13835" max="13837" width="0" hidden="1" customWidth="1"/>
    <col min="13838" max="13846" width="10.5703125" customWidth="1"/>
    <col min="14081" max="14081" width="1.5703125" customWidth="1"/>
    <col min="14082" max="14082" width="22.28515625" customWidth="1"/>
    <col min="14083" max="14083" width="6.42578125" customWidth="1"/>
    <col min="14084" max="14084" width="7.5703125" customWidth="1"/>
    <col min="14085" max="14085" width="12.42578125" customWidth="1"/>
    <col min="14086" max="14087" width="10" customWidth="1"/>
    <col min="14088" max="14088" width="9.28515625" customWidth="1"/>
    <col min="14089" max="14089" width="9" customWidth="1"/>
    <col min="14090" max="14090" width="10.5703125" customWidth="1"/>
    <col min="14091" max="14093" width="0" hidden="1" customWidth="1"/>
    <col min="14094" max="14102" width="10.5703125" customWidth="1"/>
    <col min="14337" max="14337" width="1.5703125" customWidth="1"/>
    <col min="14338" max="14338" width="22.28515625" customWidth="1"/>
    <col min="14339" max="14339" width="6.42578125" customWidth="1"/>
    <col min="14340" max="14340" width="7.5703125" customWidth="1"/>
    <col min="14341" max="14341" width="12.42578125" customWidth="1"/>
    <col min="14342" max="14343" width="10" customWidth="1"/>
    <col min="14344" max="14344" width="9.28515625" customWidth="1"/>
    <col min="14345" max="14345" width="9" customWidth="1"/>
    <col min="14346" max="14346" width="10.5703125" customWidth="1"/>
    <col min="14347" max="14349" width="0" hidden="1" customWidth="1"/>
    <col min="14350" max="14358" width="10.5703125" customWidth="1"/>
    <col min="14593" max="14593" width="1.5703125" customWidth="1"/>
    <col min="14594" max="14594" width="22.28515625" customWidth="1"/>
    <col min="14595" max="14595" width="6.42578125" customWidth="1"/>
    <col min="14596" max="14596" width="7.5703125" customWidth="1"/>
    <col min="14597" max="14597" width="12.42578125" customWidth="1"/>
    <col min="14598" max="14599" width="10" customWidth="1"/>
    <col min="14600" max="14600" width="9.28515625" customWidth="1"/>
    <col min="14601" max="14601" width="9" customWidth="1"/>
    <col min="14602" max="14602" width="10.5703125" customWidth="1"/>
    <col min="14603" max="14605" width="0" hidden="1" customWidth="1"/>
    <col min="14606" max="14614" width="10.5703125" customWidth="1"/>
    <col min="14849" max="14849" width="1.5703125" customWidth="1"/>
    <col min="14850" max="14850" width="22.28515625" customWidth="1"/>
    <col min="14851" max="14851" width="6.42578125" customWidth="1"/>
    <col min="14852" max="14852" width="7.5703125" customWidth="1"/>
    <col min="14853" max="14853" width="12.42578125" customWidth="1"/>
    <col min="14854" max="14855" width="10" customWidth="1"/>
    <col min="14856" max="14856" width="9.28515625" customWidth="1"/>
    <col min="14857" max="14857" width="9" customWidth="1"/>
    <col min="14858" max="14858" width="10.5703125" customWidth="1"/>
    <col min="14859" max="14861" width="0" hidden="1" customWidth="1"/>
    <col min="14862" max="14870" width="10.5703125" customWidth="1"/>
    <col min="15105" max="15105" width="1.5703125" customWidth="1"/>
    <col min="15106" max="15106" width="22.28515625" customWidth="1"/>
    <col min="15107" max="15107" width="6.42578125" customWidth="1"/>
    <col min="15108" max="15108" width="7.5703125" customWidth="1"/>
    <col min="15109" max="15109" width="12.42578125" customWidth="1"/>
    <col min="15110" max="15111" width="10" customWidth="1"/>
    <col min="15112" max="15112" width="9.28515625" customWidth="1"/>
    <col min="15113" max="15113" width="9" customWidth="1"/>
    <col min="15114" max="15114" width="10.5703125" customWidth="1"/>
    <col min="15115" max="15117" width="0" hidden="1" customWidth="1"/>
    <col min="15118" max="15126" width="10.5703125" customWidth="1"/>
    <col min="15361" max="15361" width="1.5703125" customWidth="1"/>
    <col min="15362" max="15362" width="22.28515625" customWidth="1"/>
    <col min="15363" max="15363" width="6.42578125" customWidth="1"/>
    <col min="15364" max="15364" width="7.5703125" customWidth="1"/>
    <col min="15365" max="15365" width="12.42578125" customWidth="1"/>
    <col min="15366" max="15367" width="10" customWidth="1"/>
    <col min="15368" max="15368" width="9.28515625" customWidth="1"/>
    <col min="15369" max="15369" width="9" customWidth="1"/>
    <col min="15370" max="15370" width="10.5703125" customWidth="1"/>
    <col min="15371" max="15373" width="0" hidden="1" customWidth="1"/>
    <col min="15374" max="15382" width="10.5703125" customWidth="1"/>
    <col min="15617" max="15617" width="1.5703125" customWidth="1"/>
    <col min="15618" max="15618" width="22.28515625" customWidth="1"/>
    <col min="15619" max="15619" width="6.42578125" customWidth="1"/>
    <col min="15620" max="15620" width="7.5703125" customWidth="1"/>
    <col min="15621" max="15621" width="12.42578125" customWidth="1"/>
    <col min="15622" max="15623" width="10" customWidth="1"/>
    <col min="15624" max="15624" width="9.28515625" customWidth="1"/>
    <col min="15625" max="15625" width="9" customWidth="1"/>
    <col min="15626" max="15626" width="10.5703125" customWidth="1"/>
    <col min="15627" max="15629" width="0" hidden="1" customWidth="1"/>
    <col min="15630" max="15638" width="10.5703125" customWidth="1"/>
    <col min="15873" max="15873" width="1.5703125" customWidth="1"/>
    <col min="15874" max="15874" width="22.28515625" customWidth="1"/>
    <col min="15875" max="15875" width="6.42578125" customWidth="1"/>
    <col min="15876" max="15876" width="7.5703125" customWidth="1"/>
    <col min="15877" max="15877" width="12.42578125" customWidth="1"/>
    <col min="15878" max="15879" width="10" customWidth="1"/>
    <col min="15880" max="15880" width="9.28515625" customWidth="1"/>
    <col min="15881" max="15881" width="9" customWidth="1"/>
    <col min="15882" max="15882" width="10.5703125" customWidth="1"/>
    <col min="15883" max="15885" width="0" hidden="1" customWidth="1"/>
    <col min="15886" max="15894" width="10.5703125" customWidth="1"/>
    <col min="16129" max="16129" width="1.5703125" customWidth="1"/>
    <col min="16130" max="16130" width="22.28515625" customWidth="1"/>
    <col min="16131" max="16131" width="6.42578125" customWidth="1"/>
    <col min="16132" max="16132" width="7.5703125" customWidth="1"/>
    <col min="16133" max="16133" width="12.42578125" customWidth="1"/>
    <col min="16134" max="16135" width="10" customWidth="1"/>
    <col min="16136" max="16136" width="9.28515625" customWidth="1"/>
    <col min="16137" max="16137" width="9" customWidth="1"/>
    <col min="16138" max="16138" width="10.5703125" customWidth="1"/>
    <col min="16139" max="16141" width="0" hidden="1" customWidth="1"/>
    <col min="16142" max="16150" width="10.5703125" customWidth="1"/>
  </cols>
  <sheetData>
    <row r="1" spans="1:19" ht="27" customHeight="1" x14ac:dyDescent="0.25"/>
    <row r="2" spans="1:19" ht="27" customHeight="1" x14ac:dyDescent="0.25"/>
    <row r="3" spans="1:19" ht="27" customHeight="1" x14ac:dyDescent="0.25">
      <c r="Q3" s="298" t="e">
        <f>IF(C23=Q5,"OK","Error")</f>
        <v>#REF!</v>
      </c>
      <c r="R3" s="298"/>
      <c r="S3" s="298"/>
    </row>
    <row r="4" spans="1:19" ht="27" customHeight="1" thickBot="1" x14ac:dyDescent="0.4">
      <c r="B4" s="390" t="s">
        <v>67</v>
      </c>
      <c r="C4" s="390"/>
      <c r="D4" s="390"/>
      <c r="E4" s="390"/>
      <c r="F4" s="390"/>
      <c r="G4" s="390"/>
      <c r="H4" s="390"/>
      <c r="I4" s="390"/>
      <c r="J4" s="390"/>
      <c r="Q4" s="299"/>
      <c r="R4" s="299"/>
      <c r="S4" s="299"/>
    </row>
    <row r="5" spans="1:19" ht="20.25" x14ac:dyDescent="0.3">
      <c r="G5" s="81" t="s">
        <v>68</v>
      </c>
      <c r="Q5" s="300" t="e">
        <f>J22/F22</f>
        <v>#REF!</v>
      </c>
      <c r="R5" s="301"/>
      <c r="S5" s="302"/>
    </row>
    <row r="6" spans="1:19" ht="27" customHeight="1" x14ac:dyDescent="0.3">
      <c r="B6" s="391" t="s">
        <v>69</v>
      </c>
      <c r="C6" s="391"/>
      <c r="D6" s="391"/>
      <c r="E6" s="391"/>
      <c r="F6" s="391"/>
      <c r="G6" s="391"/>
      <c r="H6" s="391"/>
      <c r="I6" s="391"/>
      <c r="J6" s="391"/>
      <c r="K6" s="82"/>
      <c r="Q6" s="303"/>
      <c r="R6" s="304"/>
      <c r="S6" s="305"/>
    </row>
    <row r="7" spans="1:19" ht="27" customHeight="1" thickBot="1" x14ac:dyDescent="0.35">
      <c r="B7" s="391" t="s">
        <v>83</v>
      </c>
      <c r="C7" s="391"/>
      <c r="D7" s="391"/>
      <c r="E7" s="391"/>
      <c r="F7" s="391"/>
      <c r="G7" s="391"/>
      <c r="H7" s="391"/>
      <c r="I7" s="391"/>
      <c r="J7" s="391"/>
      <c r="K7" s="82"/>
      <c r="Q7" s="303"/>
      <c r="R7" s="304"/>
      <c r="S7" s="305"/>
    </row>
    <row r="8" spans="1:19" ht="27" hidden="1" customHeight="1" thickBot="1" x14ac:dyDescent="0.35">
      <c r="B8" s="391" t="e">
        <f>#REF!</f>
        <v>#REF!</v>
      </c>
      <c r="C8" s="391"/>
      <c r="D8" s="391"/>
      <c r="E8" s="391"/>
      <c r="F8" s="391"/>
      <c r="G8" s="391"/>
      <c r="H8" s="391"/>
      <c r="I8" s="391"/>
      <c r="J8" s="391"/>
      <c r="K8" s="82"/>
      <c r="Q8" s="303"/>
      <c r="R8" s="304"/>
      <c r="S8" s="305"/>
    </row>
    <row r="9" spans="1:19" ht="23.25" hidden="1" thickBot="1" x14ac:dyDescent="0.35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Q9" s="303"/>
      <c r="R9" s="304"/>
      <c r="S9" s="305"/>
    </row>
    <row r="10" spans="1:19" ht="42" customHeight="1" thickBot="1" x14ac:dyDescent="0.3">
      <c r="A10" s="84"/>
      <c r="B10" s="95" t="s">
        <v>70</v>
      </c>
      <c r="C10" s="392">
        <v>1901</v>
      </c>
      <c r="D10" s="392"/>
      <c r="E10" s="392"/>
      <c r="F10" s="393" t="s">
        <v>71</v>
      </c>
      <c r="G10" s="393"/>
      <c r="H10" s="392" t="e">
        <f>UPPER(VLOOKUP($C$10,#REF!,2,FALSE))</f>
        <v>#REF!</v>
      </c>
      <c r="I10" s="392"/>
      <c r="J10" s="394"/>
      <c r="Q10" s="306"/>
      <c r="R10" s="307"/>
      <c r="S10" s="308"/>
    </row>
    <row r="11" spans="1:19" ht="42" customHeight="1" x14ac:dyDescent="0.25">
      <c r="A11" s="85"/>
      <c r="B11" s="97" t="s">
        <v>72</v>
      </c>
      <c r="C11" s="361" t="e">
        <f>PROPER(VLOOKUP($C$10,#REF!,3,FALSE))</f>
        <v>#REF!</v>
      </c>
      <c r="D11" s="361"/>
      <c r="E11" s="361"/>
      <c r="F11" s="362" t="s">
        <v>73</v>
      </c>
      <c r="G11" s="362"/>
      <c r="H11" s="361" t="e">
        <f>PROPER(VLOOKUP($C$10,#REF!,4,FALSE))</f>
        <v>#REF!</v>
      </c>
      <c r="I11" s="361"/>
      <c r="J11" s="363"/>
    </row>
    <row r="12" spans="1:19" ht="42" customHeight="1" thickBot="1" x14ac:dyDescent="0.3">
      <c r="A12" s="85"/>
      <c r="B12" s="96" t="s">
        <v>25</v>
      </c>
      <c r="C12" s="387" t="e">
        <f>#REF!</f>
        <v>#REF!</v>
      </c>
      <c r="D12" s="387"/>
      <c r="E12" s="387"/>
      <c r="F12" s="388" t="s">
        <v>22</v>
      </c>
      <c r="G12" s="388"/>
      <c r="H12" s="387" t="e">
        <f>#REF!</f>
        <v>#REF!</v>
      </c>
      <c r="I12" s="387"/>
      <c r="J12" s="389"/>
    </row>
    <row r="13" spans="1:19" ht="16.5" thickBot="1" x14ac:dyDescent="0.3">
      <c r="A13" s="85"/>
      <c r="B13" s="85"/>
      <c r="C13" s="85"/>
      <c r="D13" s="85"/>
      <c r="E13" s="85"/>
      <c r="F13" s="80"/>
      <c r="G13" s="80"/>
    </row>
    <row r="14" spans="1:19" x14ac:dyDescent="0.25">
      <c r="B14" s="364" t="s">
        <v>74</v>
      </c>
      <c r="C14" s="365"/>
      <c r="D14" s="365"/>
      <c r="E14" s="366"/>
      <c r="F14" s="370" t="s">
        <v>75</v>
      </c>
      <c r="G14" s="370" t="s">
        <v>12</v>
      </c>
      <c r="H14" s="370" t="s">
        <v>7</v>
      </c>
      <c r="I14" s="372" t="s">
        <v>76</v>
      </c>
      <c r="J14" s="93" t="s">
        <v>77</v>
      </c>
    </row>
    <row r="15" spans="1:19" ht="21" customHeight="1" thickBot="1" x14ac:dyDescent="0.3">
      <c r="B15" s="367"/>
      <c r="C15" s="368"/>
      <c r="D15" s="368"/>
      <c r="E15" s="369"/>
      <c r="F15" s="371"/>
      <c r="G15" s="371"/>
      <c r="H15" s="371"/>
      <c r="I15" s="373"/>
      <c r="J15" s="94" t="s">
        <v>78</v>
      </c>
    </row>
    <row r="16" spans="1:19" ht="36.75" customHeight="1" x14ac:dyDescent="0.25">
      <c r="B16" s="374" t="e">
        <f>#REF!</f>
        <v>#REF!</v>
      </c>
      <c r="C16" s="375" t="e">
        <f>PROPER(#REF!)</f>
        <v>#REF!</v>
      </c>
      <c r="D16" s="375" t="e">
        <f>PROPER(#REF!)</f>
        <v>#REF!</v>
      </c>
      <c r="E16" s="376" t="e">
        <f>PROPER(#REF!)</f>
        <v>#REF!</v>
      </c>
      <c r="F16" s="110" t="e">
        <f>#REF!</f>
        <v>#REF!</v>
      </c>
      <c r="G16" s="111" t="e">
        <f>VLOOKUP($C$10,'sheet 1'!#REF!,6,FALSE)</f>
        <v>#REF!</v>
      </c>
      <c r="H16" s="110" t="e">
        <f t="shared" ref="H16:H21" si="0">IF(G16&gt;89.99,"A+",IF(G16&gt;79.99,"A",IF(G16&gt;74.99,"B+",IF(G16&gt;69.99,"B",IF(G16&gt;64.99,"C+",IF(G16&gt;59.99,"C",IF(G16&gt;54.99,"D+",IF(G16&gt;49.99,"D","F"))))))))</f>
        <v>#REF!</v>
      </c>
      <c r="I16" s="111" t="e">
        <f t="shared" ref="I16:I21" si="1">IF(G16&gt;79.99,4,IF(G16&gt;74.99,G16/10-4,IF(G16&gt;69.99,G16/10-4,IF(G16&gt;64.99,G16/10-4,IF(G16&gt;59.99,G16/10-4,IF(G16&gt;54.99,G16/10-4,IF(G16&gt;49.99,G16/10-4,"0.00")))))))</f>
        <v>#REF!</v>
      </c>
      <c r="J16" s="112" t="e">
        <f t="shared" ref="J16:J21" si="2">F16*I16</f>
        <v>#REF!</v>
      </c>
    </row>
    <row r="17" spans="1:17" ht="36.75" customHeight="1" x14ac:dyDescent="0.25">
      <c r="B17" s="377" t="e">
        <f>#REF!</f>
        <v>#REF!</v>
      </c>
      <c r="C17" s="378" t="e">
        <f>PROPER(#REF!)</f>
        <v>#REF!</v>
      </c>
      <c r="D17" s="378" t="e">
        <f>PROPER(#REF!)</f>
        <v>#REF!</v>
      </c>
      <c r="E17" s="379" t="e">
        <f>PROPER(#REF!)</f>
        <v>#REF!</v>
      </c>
      <c r="F17" s="104" t="e">
        <f>#REF!</f>
        <v>#REF!</v>
      </c>
      <c r="G17" s="105" t="e">
        <f>VLOOKUP($C$10,'sheet 1'!#REF!,10,FALSE)</f>
        <v>#REF!</v>
      </c>
      <c r="H17" s="104" t="e">
        <f t="shared" si="0"/>
        <v>#REF!</v>
      </c>
      <c r="I17" s="105" t="e">
        <f t="shared" si="1"/>
        <v>#REF!</v>
      </c>
      <c r="J17" s="106" t="e">
        <f t="shared" si="2"/>
        <v>#REF!</v>
      </c>
    </row>
    <row r="18" spans="1:17" ht="36.75" customHeight="1" x14ac:dyDescent="0.25">
      <c r="B18" s="377" t="e">
        <f>#REF!</f>
        <v>#REF!</v>
      </c>
      <c r="C18" s="378" t="e">
        <f>PROPER(#REF!)</f>
        <v>#REF!</v>
      </c>
      <c r="D18" s="378" t="e">
        <f>PROPER(#REF!)</f>
        <v>#REF!</v>
      </c>
      <c r="E18" s="379" t="e">
        <f>PROPER(#REF!)</f>
        <v>#REF!</v>
      </c>
      <c r="F18" s="104" t="e">
        <f>#REF!</f>
        <v>#REF!</v>
      </c>
      <c r="G18" s="105" t="e">
        <f>VLOOKUP($C$10,'sheet 1'!#REF!,14,FALSE)</f>
        <v>#REF!</v>
      </c>
      <c r="H18" s="104" t="e">
        <f t="shared" si="0"/>
        <v>#REF!</v>
      </c>
      <c r="I18" s="105" t="e">
        <f t="shared" si="1"/>
        <v>#REF!</v>
      </c>
      <c r="J18" s="106" t="e">
        <f t="shared" si="2"/>
        <v>#REF!</v>
      </c>
    </row>
    <row r="19" spans="1:17" ht="36.75" customHeight="1" x14ac:dyDescent="0.25">
      <c r="B19" s="377" t="e">
        <f>#REF!</f>
        <v>#REF!</v>
      </c>
      <c r="C19" s="378" t="e">
        <f>PROPER(#REF!)</f>
        <v>#REF!</v>
      </c>
      <c r="D19" s="378" t="e">
        <f>PROPER(#REF!)</f>
        <v>#REF!</v>
      </c>
      <c r="E19" s="379" t="e">
        <f>PROPER(#REF!)</f>
        <v>#REF!</v>
      </c>
      <c r="F19" s="104" t="e">
        <f>#REF!</f>
        <v>#REF!</v>
      </c>
      <c r="G19" s="105" t="e">
        <f>VLOOKUP($C$10,'sheet 1'!#REF!,18,FALSE)</f>
        <v>#REF!</v>
      </c>
      <c r="H19" s="104" t="e">
        <f t="shared" si="0"/>
        <v>#REF!</v>
      </c>
      <c r="I19" s="105" t="e">
        <f t="shared" si="1"/>
        <v>#REF!</v>
      </c>
      <c r="J19" s="106" t="e">
        <f t="shared" si="2"/>
        <v>#REF!</v>
      </c>
    </row>
    <row r="20" spans="1:17" ht="36.75" customHeight="1" x14ac:dyDescent="0.25">
      <c r="B20" s="377" t="e">
        <f>#REF!</f>
        <v>#REF!</v>
      </c>
      <c r="C20" s="378" t="e">
        <f>PROPER(#REF!)</f>
        <v>#REF!</v>
      </c>
      <c r="D20" s="378" t="e">
        <f>PROPER(#REF!)</f>
        <v>#REF!</v>
      </c>
      <c r="E20" s="379" t="e">
        <f>PROPER(#REF!)</f>
        <v>#REF!</v>
      </c>
      <c r="F20" s="104" t="e">
        <f>#REF!</f>
        <v>#REF!</v>
      </c>
      <c r="G20" s="105" t="e">
        <f>VLOOKUP($C$10,'sheet 1'!#REF!,22,FALSE)</f>
        <v>#REF!</v>
      </c>
      <c r="H20" s="104" t="e">
        <f t="shared" si="0"/>
        <v>#REF!</v>
      </c>
      <c r="I20" s="105" t="e">
        <f t="shared" si="1"/>
        <v>#REF!</v>
      </c>
      <c r="J20" s="106" t="e">
        <f t="shared" si="2"/>
        <v>#REF!</v>
      </c>
    </row>
    <row r="21" spans="1:17" ht="36.75" customHeight="1" thickBot="1" x14ac:dyDescent="0.3">
      <c r="B21" s="358" t="e">
        <f>#REF!</f>
        <v>#REF!</v>
      </c>
      <c r="C21" s="359" t="e">
        <f>PROPER(#REF!)</f>
        <v>#REF!</v>
      </c>
      <c r="D21" s="359" t="e">
        <f>PROPER(#REF!)</f>
        <v>#REF!</v>
      </c>
      <c r="E21" s="360" t="e">
        <f>PROPER(#REF!)</f>
        <v>#REF!</v>
      </c>
      <c r="F21" s="107" t="e">
        <f>#REF!</f>
        <v>#REF!</v>
      </c>
      <c r="G21" s="108" t="e">
        <f>VLOOKUP($C$10,'sheet 1'!#REF!,26,FALSE)</f>
        <v>#REF!</v>
      </c>
      <c r="H21" s="107" t="e">
        <f t="shared" si="0"/>
        <v>#REF!</v>
      </c>
      <c r="I21" s="108" t="e">
        <f t="shared" si="1"/>
        <v>#REF!</v>
      </c>
      <c r="J21" s="109" t="e">
        <f t="shared" si="2"/>
        <v>#REF!</v>
      </c>
    </row>
    <row r="22" spans="1:17" ht="15.75" thickBot="1" x14ac:dyDescent="0.3">
      <c r="F22" s="86" t="e">
        <f>SUM(F16:F21)</f>
        <v>#REF!</v>
      </c>
      <c r="J22" s="86" t="e">
        <f>SUM(J16:J21)</f>
        <v>#REF!</v>
      </c>
    </row>
    <row r="23" spans="1:17" ht="22.5" customHeight="1" x14ac:dyDescent="0.25">
      <c r="A23" t="s">
        <v>79</v>
      </c>
      <c r="B23" s="87" t="s">
        <v>80</v>
      </c>
      <c r="C23" s="380" t="e">
        <f>VLOOKUP($C$10,#REF!,11,FALSE)</f>
        <v>#REF!</v>
      </c>
      <c r="D23" s="381"/>
      <c r="L23" s="88" t="e">
        <f>SUM(G15:G21)</f>
        <v>#REF!</v>
      </c>
      <c r="Q23" s="89"/>
    </row>
    <row r="24" spans="1:17" ht="22.5" customHeight="1" x14ac:dyDescent="0.25">
      <c r="B24" s="90" t="s">
        <v>7</v>
      </c>
      <c r="C24" s="382" t="e">
        <f>IF(C23&gt;3.99,"A",IF(C23&gt;3.49,"B+",IF(C23&gt;2.99,"B",IF(C23&gt;2.49,"C+",IF(C23&gt;1.99,"C",IF(C23&gt;1.49,"D+",IF(C23&gt;0.99,"D","F")))))))</f>
        <v>#REF!</v>
      </c>
      <c r="D24" s="383"/>
      <c r="L24" s="91" t="e">
        <f>SUM(C15:C21)</f>
        <v>#REF!</v>
      </c>
    </row>
    <row r="25" spans="1:17" ht="22.5" customHeight="1" x14ac:dyDescent="0.25">
      <c r="B25" s="90" t="s">
        <v>3</v>
      </c>
      <c r="C25" s="382" t="e">
        <f>IF(C23&gt;3.99,"Excellent",IF(C23&gt;3.49,"Very Good",IF(C23&gt;2.99,"Good",IF(C23&gt;2.49,"Fair",IF(C23&gt;1.99,"Fair",IF(C23&gt;1.49,"Pass (Probation)",IF(C23&gt;0.99,"Pass (Probation)","Fail")))))))</f>
        <v>#REF!</v>
      </c>
      <c r="D25" s="383"/>
    </row>
    <row r="26" spans="1:17" ht="22.5" customHeight="1" thickBot="1" x14ac:dyDescent="0.35">
      <c r="B26" s="92" t="s">
        <v>81</v>
      </c>
      <c r="C26" s="384" t="e">
        <f>#REF!</f>
        <v>#REF!</v>
      </c>
      <c r="D26" s="385"/>
      <c r="G26" s="99" t="s">
        <v>61</v>
      </c>
    </row>
    <row r="27" spans="1:17" ht="18.75" x14ac:dyDescent="0.25">
      <c r="B27" s="386" t="s">
        <v>82</v>
      </c>
      <c r="C27" s="386"/>
      <c r="D27" s="386"/>
      <c r="G27" s="100" t="s">
        <v>4</v>
      </c>
    </row>
  </sheetData>
  <mergeCells count="31">
    <mergeCell ref="Q3:S4"/>
    <mergeCell ref="Q5:S10"/>
    <mergeCell ref="C12:E12"/>
    <mergeCell ref="F12:G12"/>
    <mergeCell ref="H12:J12"/>
    <mergeCell ref="B4:J4"/>
    <mergeCell ref="B6:J6"/>
    <mergeCell ref="B7:J7"/>
    <mergeCell ref="B8:J8"/>
    <mergeCell ref="C10:E10"/>
    <mergeCell ref="F10:G10"/>
    <mergeCell ref="H10:J10"/>
    <mergeCell ref="C23:D23"/>
    <mergeCell ref="C24:D24"/>
    <mergeCell ref="C25:D25"/>
    <mergeCell ref="C26:D26"/>
    <mergeCell ref="B27:D27"/>
    <mergeCell ref="B21:E21"/>
    <mergeCell ref="C11:E11"/>
    <mergeCell ref="F11:G11"/>
    <mergeCell ref="H11:J11"/>
    <mergeCell ref="B14:E15"/>
    <mergeCell ref="F14:F15"/>
    <mergeCell ref="G14:G15"/>
    <mergeCell ref="H14:H15"/>
    <mergeCell ref="I14:I15"/>
    <mergeCell ref="B16:E16"/>
    <mergeCell ref="B17:E17"/>
    <mergeCell ref="B18:E18"/>
    <mergeCell ref="B19:E19"/>
    <mergeCell ref="B20:E20"/>
  </mergeCells>
  <conditionalFormatting sqref="G16:G21">
    <cfRule type="cellIs" dxfId="7" priority="2" stopIfTrue="1" operator="lessThan">
      <formula>50</formula>
    </cfRule>
  </conditionalFormatting>
  <conditionalFormatting sqref="H16:H21">
    <cfRule type="containsText" dxfId="6" priority="1" stopIfTrue="1" operator="containsText" text="F">
      <formula>NOT(ISERROR(SEARCH("F",H16)))</formula>
    </cfRule>
  </conditionalFormatting>
  <printOptions horizontalCentered="1"/>
  <pageMargins left="0.19685039370078741" right="0.19685039370078741" top="0.27559055118110237" bottom="0.19685039370078741" header="0.31496062992125984" footer="0.31496062992125984"/>
  <pageSetup paperSize="9" orientation="portrait" horizontalDpi="4294967295" verticalDpi="4294967295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9"/>
  <sheetViews>
    <sheetView view="pageBreakPreview" zoomScale="115" zoomScaleNormal="100" zoomScaleSheetLayoutView="115" workbookViewId="0">
      <selection activeCell="V10" sqref="V10:V160"/>
    </sheetView>
  </sheetViews>
  <sheetFormatPr defaultRowHeight="15" x14ac:dyDescent="0.25"/>
  <cols>
    <col min="1" max="1" width="1.5703125" customWidth="1"/>
    <col min="2" max="2" width="22.28515625" customWidth="1"/>
    <col min="3" max="3" width="6.42578125" customWidth="1"/>
    <col min="4" max="4" width="7.5703125" customWidth="1"/>
    <col min="5" max="5" width="12.42578125" customWidth="1"/>
    <col min="6" max="7" width="10" customWidth="1"/>
    <col min="8" max="8" width="9.28515625" customWidth="1"/>
    <col min="9" max="9" width="9" customWidth="1"/>
    <col min="10" max="10" width="10.5703125" customWidth="1"/>
    <col min="11" max="13" width="0" hidden="1" customWidth="1"/>
    <col min="14" max="16" width="10.5703125" hidden="1" customWidth="1"/>
    <col min="17" max="17" width="31.42578125" bestFit="1" customWidth="1"/>
    <col min="18" max="22" width="10.5703125" customWidth="1"/>
    <col min="257" max="257" width="1.5703125" customWidth="1"/>
    <col min="258" max="258" width="22.28515625" customWidth="1"/>
    <col min="259" max="259" width="6.42578125" customWidth="1"/>
    <col min="260" max="260" width="7.5703125" customWidth="1"/>
    <col min="261" max="261" width="12.42578125" customWidth="1"/>
    <col min="262" max="263" width="10" customWidth="1"/>
    <col min="264" max="264" width="9.28515625" customWidth="1"/>
    <col min="265" max="265" width="9" customWidth="1"/>
    <col min="266" max="266" width="10.5703125" customWidth="1"/>
    <col min="267" max="269" width="0" hidden="1" customWidth="1"/>
    <col min="270" max="278" width="10.5703125" customWidth="1"/>
    <col min="513" max="513" width="1.5703125" customWidth="1"/>
    <col min="514" max="514" width="22.28515625" customWidth="1"/>
    <col min="515" max="515" width="6.42578125" customWidth="1"/>
    <col min="516" max="516" width="7.5703125" customWidth="1"/>
    <col min="517" max="517" width="12.42578125" customWidth="1"/>
    <col min="518" max="519" width="10" customWidth="1"/>
    <col min="520" max="520" width="9.28515625" customWidth="1"/>
    <col min="521" max="521" width="9" customWidth="1"/>
    <col min="522" max="522" width="10.5703125" customWidth="1"/>
    <col min="523" max="525" width="0" hidden="1" customWidth="1"/>
    <col min="526" max="534" width="10.5703125" customWidth="1"/>
    <col min="769" max="769" width="1.5703125" customWidth="1"/>
    <col min="770" max="770" width="22.28515625" customWidth="1"/>
    <col min="771" max="771" width="6.42578125" customWidth="1"/>
    <col min="772" max="772" width="7.5703125" customWidth="1"/>
    <col min="773" max="773" width="12.42578125" customWidth="1"/>
    <col min="774" max="775" width="10" customWidth="1"/>
    <col min="776" max="776" width="9.28515625" customWidth="1"/>
    <col min="777" max="777" width="9" customWidth="1"/>
    <col min="778" max="778" width="10.5703125" customWidth="1"/>
    <col min="779" max="781" width="0" hidden="1" customWidth="1"/>
    <col min="782" max="790" width="10.5703125" customWidth="1"/>
    <col min="1025" max="1025" width="1.5703125" customWidth="1"/>
    <col min="1026" max="1026" width="22.28515625" customWidth="1"/>
    <col min="1027" max="1027" width="6.42578125" customWidth="1"/>
    <col min="1028" max="1028" width="7.5703125" customWidth="1"/>
    <col min="1029" max="1029" width="12.42578125" customWidth="1"/>
    <col min="1030" max="1031" width="10" customWidth="1"/>
    <col min="1032" max="1032" width="9.28515625" customWidth="1"/>
    <col min="1033" max="1033" width="9" customWidth="1"/>
    <col min="1034" max="1034" width="10.5703125" customWidth="1"/>
    <col min="1035" max="1037" width="0" hidden="1" customWidth="1"/>
    <col min="1038" max="1046" width="10.5703125" customWidth="1"/>
    <col min="1281" max="1281" width="1.5703125" customWidth="1"/>
    <col min="1282" max="1282" width="22.28515625" customWidth="1"/>
    <col min="1283" max="1283" width="6.42578125" customWidth="1"/>
    <col min="1284" max="1284" width="7.5703125" customWidth="1"/>
    <col min="1285" max="1285" width="12.42578125" customWidth="1"/>
    <col min="1286" max="1287" width="10" customWidth="1"/>
    <col min="1288" max="1288" width="9.28515625" customWidth="1"/>
    <col min="1289" max="1289" width="9" customWidth="1"/>
    <col min="1290" max="1290" width="10.5703125" customWidth="1"/>
    <col min="1291" max="1293" width="0" hidden="1" customWidth="1"/>
    <col min="1294" max="1302" width="10.5703125" customWidth="1"/>
    <col min="1537" max="1537" width="1.5703125" customWidth="1"/>
    <col min="1538" max="1538" width="22.28515625" customWidth="1"/>
    <col min="1539" max="1539" width="6.42578125" customWidth="1"/>
    <col min="1540" max="1540" width="7.5703125" customWidth="1"/>
    <col min="1541" max="1541" width="12.42578125" customWidth="1"/>
    <col min="1542" max="1543" width="10" customWidth="1"/>
    <col min="1544" max="1544" width="9.28515625" customWidth="1"/>
    <col min="1545" max="1545" width="9" customWidth="1"/>
    <col min="1546" max="1546" width="10.5703125" customWidth="1"/>
    <col min="1547" max="1549" width="0" hidden="1" customWidth="1"/>
    <col min="1550" max="1558" width="10.5703125" customWidth="1"/>
    <col min="1793" max="1793" width="1.5703125" customWidth="1"/>
    <col min="1794" max="1794" width="22.28515625" customWidth="1"/>
    <col min="1795" max="1795" width="6.42578125" customWidth="1"/>
    <col min="1796" max="1796" width="7.5703125" customWidth="1"/>
    <col min="1797" max="1797" width="12.42578125" customWidth="1"/>
    <col min="1798" max="1799" width="10" customWidth="1"/>
    <col min="1800" max="1800" width="9.28515625" customWidth="1"/>
    <col min="1801" max="1801" width="9" customWidth="1"/>
    <col min="1802" max="1802" width="10.5703125" customWidth="1"/>
    <col min="1803" max="1805" width="0" hidden="1" customWidth="1"/>
    <col min="1806" max="1814" width="10.5703125" customWidth="1"/>
    <col min="2049" max="2049" width="1.5703125" customWidth="1"/>
    <col min="2050" max="2050" width="22.28515625" customWidth="1"/>
    <col min="2051" max="2051" width="6.42578125" customWidth="1"/>
    <col min="2052" max="2052" width="7.5703125" customWidth="1"/>
    <col min="2053" max="2053" width="12.42578125" customWidth="1"/>
    <col min="2054" max="2055" width="10" customWidth="1"/>
    <col min="2056" max="2056" width="9.28515625" customWidth="1"/>
    <col min="2057" max="2057" width="9" customWidth="1"/>
    <col min="2058" max="2058" width="10.5703125" customWidth="1"/>
    <col min="2059" max="2061" width="0" hidden="1" customWidth="1"/>
    <col min="2062" max="2070" width="10.5703125" customWidth="1"/>
    <col min="2305" max="2305" width="1.5703125" customWidth="1"/>
    <col min="2306" max="2306" width="22.28515625" customWidth="1"/>
    <col min="2307" max="2307" width="6.42578125" customWidth="1"/>
    <col min="2308" max="2308" width="7.5703125" customWidth="1"/>
    <col min="2309" max="2309" width="12.42578125" customWidth="1"/>
    <col min="2310" max="2311" width="10" customWidth="1"/>
    <col min="2312" max="2312" width="9.28515625" customWidth="1"/>
    <col min="2313" max="2313" width="9" customWidth="1"/>
    <col min="2314" max="2314" width="10.5703125" customWidth="1"/>
    <col min="2315" max="2317" width="0" hidden="1" customWidth="1"/>
    <col min="2318" max="2326" width="10.5703125" customWidth="1"/>
    <col min="2561" max="2561" width="1.5703125" customWidth="1"/>
    <col min="2562" max="2562" width="22.28515625" customWidth="1"/>
    <col min="2563" max="2563" width="6.42578125" customWidth="1"/>
    <col min="2564" max="2564" width="7.5703125" customWidth="1"/>
    <col min="2565" max="2565" width="12.42578125" customWidth="1"/>
    <col min="2566" max="2567" width="10" customWidth="1"/>
    <col min="2568" max="2568" width="9.28515625" customWidth="1"/>
    <col min="2569" max="2569" width="9" customWidth="1"/>
    <col min="2570" max="2570" width="10.5703125" customWidth="1"/>
    <col min="2571" max="2573" width="0" hidden="1" customWidth="1"/>
    <col min="2574" max="2582" width="10.5703125" customWidth="1"/>
    <col min="2817" max="2817" width="1.5703125" customWidth="1"/>
    <col min="2818" max="2818" width="22.28515625" customWidth="1"/>
    <col min="2819" max="2819" width="6.42578125" customWidth="1"/>
    <col min="2820" max="2820" width="7.5703125" customWidth="1"/>
    <col min="2821" max="2821" width="12.42578125" customWidth="1"/>
    <col min="2822" max="2823" width="10" customWidth="1"/>
    <col min="2824" max="2824" width="9.28515625" customWidth="1"/>
    <col min="2825" max="2825" width="9" customWidth="1"/>
    <col min="2826" max="2826" width="10.5703125" customWidth="1"/>
    <col min="2827" max="2829" width="0" hidden="1" customWidth="1"/>
    <col min="2830" max="2838" width="10.5703125" customWidth="1"/>
    <col min="3073" max="3073" width="1.5703125" customWidth="1"/>
    <col min="3074" max="3074" width="22.28515625" customWidth="1"/>
    <col min="3075" max="3075" width="6.42578125" customWidth="1"/>
    <col min="3076" max="3076" width="7.5703125" customWidth="1"/>
    <col min="3077" max="3077" width="12.42578125" customWidth="1"/>
    <col min="3078" max="3079" width="10" customWidth="1"/>
    <col min="3080" max="3080" width="9.28515625" customWidth="1"/>
    <col min="3081" max="3081" width="9" customWidth="1"/>
    <col min="3082" max="3082" width="10.5703125" customWidth="1"/>
    <col min="3083" max="3085" width="0" hidden="1" customWidth="1"/>
    <col min="3086" max="3094" width="10.5703125" customWidth="1"/>
    <col min="3329" max="3329" width="1.5703125" customWidth="1"/>
    <col min="3330" max="3330" width="22.28515625" customWidth="1"/>
    <col min="3331" max="3331" width="6.42578125" customWidth="1"/>
    <col min="3332" max="3332" width="7.5703125" customWidth="1"/>
    <col min="3333" max="3333" width="12.42578125" customWidth="1"/>
    <col min="3334" max="3335" width="10" customWidth="1"/>
    <col min="3336" max="3336" width="9.28515625" customWidth="1"/>
    <col min="3337" max="3337" width="9" customWidth="1"/>
    <col min="3338" max="3338" width="10.5703125" customWidth="1"/>
    <col min="3339" max="3341" width="0" hidden="1" customWidth="1"/>
    <col min="3342" max="3350" width="10.5703125" customWidth="1"/>
    <col min="3585" max="3585" width="1.5703125" customWidth="1"/>
    <col min="3586" max="3586" width="22.28515625" customWidth="1"/>
    <col min="3587" max="3587" width="6.42578125" customWidth="1"/>
    <col min="3588" max="3588" width="7.5703125" customWidth="1"/>
    <col min="3589" max="3589" width="12.42578125" customWidth="1"/>
    <col min="3590" max="3591" width="10" customWidth="1"/>
    <col min="3592" max="3592" width="9.28515625" customWidth="1"/>
    <col min="3593" max="3593" width="9" customWidth="1"/>
    <col min="3594" max="3594" width="10.5703125" customWidth="1"/>
    <col min="3595" max="3597" width="0" hidden="1" customWidth="1"/>
    <col min="3598" max="3606" width="10.5703125" customWidth="1"/>
    <col min="3841" max="3841" width="1.5703125" customWidth="1"/>
    <col min="3842" max="3842" width="22.28515625" customWidth="1"/>
    <col min="3843" max="3843" width="6.42578125" customWidth="1"/>
    <col min="3844" max="3844" width="7.5703125" customWidth="1"/>
    <col min="3845" max="3845" width="12.42578125" customWidth="1"/>
    <col min="3846" max="3847" width="10" customWidth="1"/>
    <col min="3848" max="3848" width="9.28515625" customWidth="1"/>
    <col min="3849" max="3849" width="9" customWidth="1"/>
    <col min="3850" max="3850" width="10.5703125" customWidth="1"/>
    <col min="3851" max="3853" width="0" hidden="1" customWidth="1"/>
    <col min="3854" max="3862" width="10.5703125" customWidth="1"/>
    <col min="4097" max="4097" width="1.5703125" customWidth="1"/>
    <col min="4098" max="4098" width="22.28515625" customWidth="1"/>
    <col min="4099" max="4099" width="6.42578125" customWidth="1"/>
    <col min="4100" max="4100" width="7.5703125" customWidth="1"/>
    <col min="4101" max="4101" width="12.42578125" customWidth="1"/>
    <col min="4102" max="4103" width="10" customWidth="1"/>
    <col min="4104" max="4104" width="9.28515625" customWidth="1"/>
    <col min="4105" max="4105" width="9" customWidth="1"/>
    <col min="4106" max="4106" width="10.5703125" customWidth="1"/>
    <col min="4107" max="4109" width="0" hidden="1" customWidth="1"/>
    <col min="4110" max="4118" width="10.5703125" customWidth="1"/>
    <col min="4353" max="4353" width="1.5703125" customWidth="1"/>
    <col min="4354" max="4354" width="22.28515625" customWidth="1"/>
    <col min="4355" max="4355" width="6.42578125" customWidth="1"/>
    <col min="4356" max="4356" width="7.5703125" customWidth="1"/>
    <col min="4357" max="4357" width="12.42578125" customWidth="1"/>
    <col min="4358" max="4359" width="10" customWidth="1"/>
    <col min="4360" max="4360" width="9.28515625" customWidth="1"/>
    <col min="4361" max="4361" width="9" customWidth="1"/>
    <col min="4362" max="4362" width="10.5703125" customWidth="1"/>
    <col min="4363" max="4365" width="0" hidden="1" customWidth="1"/>
    <col min="4366" max="4374" width="10.5703125" customWidth="1"/>
    <col min="4609" max="4609" width="1.5703125" customWidth="1"/>
    <col min="4610" max="4610" width="22.28515625" customWidth="1"/>
    <col min="4611" max="4611" width="6.42578125" customWidth="1"/>
    <col min="4612" max="4612" width="7.5703125" customWidth="1"/>
    <col min="4613" max="4613" width="12.42578125" customWidth="1"/>
    <col min="4614" max="4615" width="10" customWidth="1"/>
    <col min="4616" max="4616" width="9.28515625" customWidth="1"/>
    <col min="4617" max="4617" width="9" customWidth="1"/>
    <col min="4618" max="4618" width="10.5703125" customWidth="1"/>
    <col min="4619" max="4621" width="0" hidden="1" customWidth="1"/>
    <col min="4622" max="4630" width="10.5703125" customWidth="1"/>
    <col min="4865" max="4865" width="1.5703125" customWidth="1"/>
    <col min="4866" max="4866" width="22.28515625" customWidth="1"/>
    <col min="4867" max="4867" width="6.42578125" customWidth="1"/>
    <col min="4868" max="4868" width="7.5703125" customWidth="1"/>
    <col min="4869" max="4869" width="12.42578125" customWidth="1"/>
    <col min="4870" max="4871" width="10" customWidth="1"/>
    <col min="4872" max="4872" width="9.28515625" customWidth="1"/>
    <col min="4873" max="4873" width="9" customWidth="1"/>
    <col min="4874" max="4874" width="10.5703125" customWidth="1"/>
    <col min="4875" max="4877" width="0" hidden="1" customWidth="1"/>
    <col min="4878" max="4886" width="10.5703125" customWidth="1"/>
    <col min="5121" max="5121" width="1.5703125" customWidth="1"/>
    <col min="5122" max="5122" width="22.28515625" customWidth="1"/>
    <col min="5123" max="5123" width="6.42578125" customWidth="1"/>
    <col min="5124" max="5124" width="7.5703125" customWidth="1"/>
    <col min="5125" max="5125" width="12.42578125" customWidth="1"/>
    <col min="5126" max="5127" width="10" customWidth="1"/>
    <col min="5128" max="5128" width="9.28515625" customWidth="1"/>
    <col min="5129" max="5129" width="9" customWidth="1"/>
    <col min="5130" max="5130" width="10.5703125" customWidth="1"/>
    <col min="5131" max="5133" width="0" hidden="1" customWidth="1"/>
    <col min="5134" max="5142" width="10.5703125" customWidth="1"/>
    <col min="5377" max="5377" width="1.5703125" customWidth="1"/>
    <col min="5378" max="5378" width="22.28515625" customWidth="1"/>
    <col min="5379" max="5379" width="6.42578125" customWidth="1"/>
    <col min="5380" max="5380" width="7.5703125" customWidth="1"/>
    <col min="5381" max="5381" width="12.42578125" customWidth="1"/>
    <col min="5382" max="5383" width="10" customWidth="1"/>
    <col min="5384" max="5384" width="9.28515625" customWidth="1"/>
    <col min="5385" max="5385" width="9" customWidth="1"/>
    <col min="5386" max="5386" width="10.5703125" customWidth="1"/>
    <col min="5387" max="5389" width="0" hidden="1" customWidth="1"/>
    <col min="5390" max="5398" width="10.5703125" customWidth="1"/>
    <col min="5633" max="5633" width="1.5703125" customWidth="1"/>
    <col min="5634" max="5634" width="22.28515625" customWidth="1"/>
    <col min="5635" max="5635" width="6.42578125" customWidth="1"/>
    <col min="5636" max="5636" width="7.5703125" customWidth="1"/>
    <col min="5637" max="5637" width="12.42578125" customWidth="1"/>
    <col min="5638" max="5639" width="10" customWidth="1"/>
    <col min="5640" max="5640" width="9.28515625" customWidth="1"/>
    <col min="5641" max="5641" width="9" customWidth="1"/>
    <col min="5642" max="5642" width="10.5703125" customWidth="1"/>
    <col min="5643" max="5645" width="0" hidden="1" customWidth="1"/>
    <col min="5646" max="5654" width="10.5703125" customWidth="1"/>
    <col min="5889" max="5889" width="1.5703125" customWidth="1"/>
    <col min="5890" max="5890" width="22.28515625" customWidth="1"/>
    <col min="5891" max="5891" width="6.42578125" customWidth="1"/>
    <col min="5892" max="5892" width="7.5703125" customWidth="1"/>
    <col min="5893" max="5893" width="12.42578125" customWidth="1"/>
    <col min="5894" max="5895" width="10" customWidth="1"/>
    <col min="5896" max="5896" width="9.28515625" customWidth="1"/>
    <col min="5897" max="5897" width="9" customWidth="1"/>
    <col min="5898" max="5898" width="10.5703125" customWidth="1"/>
    <col min="5899" max="5901" width="0" hidden="1" customWidth="1"/>
    <col min="5902" max="5910" width="10.5703125" customWidth="1"/>
    <col min="6145" max="6145" width="1.5703125" customWidth="1"/>
    <col min="6146" max="6146" width="22.28515625" customWidth="1"/>
    <col min="6147" max="6147" width="6.42578125" customWidth="1"/>
    <col min="6148" max="6148" width="7.5703125" customWidth="1"/>
    <col min="6149" max="6149" width="12.42578125" customWidth="1"/>
    <col min="6150" max="6151" width="10" customWidth="1"/>
    <col min="6152" max="6152" width="9.28515625" customWidth="1"/>
    <col min="6153" max="6153" width="9" customWidth="1"/>
    <col min="6154" max="6154" width="10.5703125" customWidth="1"/>
    <col min="6155" max="6157" width="0" hidden="1" customWidth="1"/>
    <col min="6158" max="6166" width="10.5703125" customWidth="1"/>
    <col min="6401" max="6401" width="1.5703125" customWidth="1"/>
    <col min="6402" max="6402" width="22.28515625" customWidth="1"/>
    <col min="6403" max="6403" width="6.42578125" customWidth="1"/>
    <col min="6404" max="6404" width="7.5703125" customWidth="1"/>
    <col min="6405" max="6405" width="12.42578125" customWidth="1"/>
    <col min="6406" max="6407" width="10" customWidth="1"/>
    <col min="6408" max="6408" width="9.28515625" customWidth="1"/>
    <col min="6409" max="6409" width="9" customWidth="1"/>
    <col min="6410" max="6410" width="10.5703125" customWidth="1"/>
    <col min="6411" max="6413" width="0" hidden="1" customWidth="1"/>
    <col min="6414" max="6422" width="10.5703125" customWidth="1"/>
    <col min="6657" max="6657" width="1.5703125" customWidth="1"/>
    <col min="6658" max="6658" width="22.28515625" customWidth="1"/>
    <col min="6659" max="6659" width="6.42578125" customWidth="1"/>
    <col min="6660" max="6660" width="7.5703125" customWidth="1"/>
    <col min="6661" max="6661" width="12.42578125" customWidth="1"/>
    <col min="6662" max="6663" width="10" customWidth="1"/>
    <col min="6664" max="6664" width="9.28515625" customWidth="1"/>
    <col min="6665" max="6665" width="9" customWidth="1"/>
    <col min="6666" max="6666" width="10.5703125" customWidth="1"/>
    <col min="6667" max="6669" width="0" hidden="1" customWidth="1"/>
    <col min="6670" max="6678" width="10.5703125" customWidth="1"/>
    <col min="6913" max="6913" width="1.5703125" customWidth="1"/>
    <col min="6914" max="6914" width="22.28515625" customWidth="1"/>
    <col min="6915" max="6915" width="6.42578125" customWidth="1"/>
    <col min="6916" max="6916" width="7.5703125" customWidth="1"/>
    <col min="6917" max="6917" width="12.42578125" customWidth="1"/>
    <col min="6918" max="6919" width="10" customWidth="1"/>
    <col min="6920" max="6920" width="9.28515625" customWidth="1"/>
    <col min="6921" max="6921" width="9" customWidth="1"/>
    <col min="6922" max="6922" width="10.5703125" customWidth="1"/>
    <col min="6923" max="6925" width="0" hidden="1" customWidth="1"/>
    <col min="6926" max="6934" width="10.5703125" customWidth="1"/>
    <col min="7169" max="7169" width="1.5703125" customWidth="1"/>
    <col min="7170" max="7170" width="22.28515625" customWidth="1"/>
    <col min="7171" max="7171" width="6.42578125" customWidth="1"/>
    <col min="7172" max="7172" width="7.5703125" customWidth="1"/>
    <col min="7173" max="7173" width="12.42578125" customWidth="1"/>
    <col min="7174" max="7175" width="10" customWidth="1"/>
    <col min="7176" max="7176" width="9.28515625" customWidth="1"/>
    <col min="7177" max="7177" width="9" customWidth="1"/>
    <col min="7178" max="7178" width="10.5703125" customWidth="1"/>
    <col min="7179" max="7181" width="0" hidden="1" customWidth="1"/>
    <col min="7182" max="7190" width="10.5703125" customWidth="1"/>
    <col min="7425" max="7425" width="1.5703125" customWidth="1"/>
    <col min="7426" max="7426" width="22.28515625" customWidth="1"/>
    <col min="7427" max="7427" width="6.42578125" customWidth="1"/>
    <col min="7428" max="7428" width="7.5703125" customWidth="1"/>
    <col min="7429" max="7429" width="12.42578125" customWidth="1"/>
    <col min="7430" max="7431" width="10" customWidth="1"/>
    <col min="7432" max="7432" width="9.28515625" customWidth="1"/>
    <col min="7433" max="7433" width="9" customWidth="1"/>
    <col min="7434" max="7434" width="10.5703125" customWidth="1"/>
    <col min="7435" max="7437" width="0" hidden="1" customWidth="1"/>
    <col min="7438" max="7446" width="10.5703125" customWidth="1"/>
    <col min="7681" max="7681" width="1.5703125" customWidth="1"/>
    <col min="7682" max="7682" width="22.28515625" customWidth="1"/>
    <col min="7683" max="7683" width="6.42578125" customWidth="1"/>
    <col min="7684" max="7684" width="7.5703125" customWidth="1"/>
    <col min="7685" max="7685" width="12.42578125" customWidth="1"/>
    <col min="7686" max="7687" width="10" customWidth="1"/>
    <col min="7688" max="7688" width="9.28515625" customWidth="1"/>
    <col min="7689" max="7689" width="9" customWidth="1"/>
    <col min="7690" max="7690" width="10.5703125" customWidth="1"/>
    <col min="7691" max="7693" width="0" hidden="1" customWidth="1"/>
    <col min="7694" max="7702" width="10.5703125" customWidth="1"/>
    <col min="7937" max="7937" width="1.5703125" customWidth="1"/>
    <col min="7938" max="7938" width="22.28515625" customWidth="1"/>
    <col min="7939" max="7939" width="6.42578125" customWidth="1"/>
    <col min="7940" max="7940" width="7.5703125" customWidth="1"/>
    <col min="7941" max="7941" width="12.42578125" customWidth="1"/>
    <col min="7942" max="7943" width="10" customWidth="1"/>
    <col min="7944" max="7944" width="9.28515625" customWidth="1"/>
    <col min="7945" max="7945" width="9" customWidth="1"/>
    <col min="7946" max="7946" width="10.5703125" customWidth="1"/>
    <col min="7947" max="7949" width="0" hidden="1" customWidth="1"/>
    <col min="7950" max="7958" width="10.5703125" customWidth="1"/>
    <col min="8193" max="8193" width="1.5703125" customWidth="1"/>
    <col min="8194" max="8194" width="22.28515625" customWidth="1"/>
    <col min="8195" max="8195" width="6.42578125" customWidth="1"/>
    <col min="8196" max="8196" width="7.5703125" customWidth="1"/>
    <col min="8197" max="8197" width="12.42578125" customWidth="1"/>
    <col min="8198" max="8199" width="10" customWidth="1"/>
    <col min="8200" max="8200" width="9.28515625" customWidth="1"/>
    <col min="8201" max="8201" width="9" customWidth="1"/>
    <col min="8202" max="8202" width="10.5703125" customWidth="1"/>
    <col min="8203" max="8205" width="0" hidden="1" customWidth="1"/>
    <col min="8206" max="8214" width="10.5703125" customWidth="1"/>
    <col min="8449" max="8449" width="1.5703125" customWidth="1"/>
    <col min="8450" max="8450" width="22.28515625" customWidth="1"/>
    <col min="8451" max="8451" width="6.42578125" customWidth="1"/>
    <col min="8452" max="8452" width="7.5703125" customWidth="1"/>
    <col min="8453" max="8453" width="12.42578125" customWidth="1"/>
    <col min="8454" max="8455" width="10" customWidth="1"/>
    <col min="8456" max="8456" width="9.28515625" customWidth="1"/>
    <col min="8457" max="8457" width="9" customWidth="1"/>
    <col min="8458" max="8458" width="10.5703125" customWidth="1"/>
    <col min="8459" max="8461" width="0" hidden="1" customWidth="1"/>
    <col min="8462" max="8470" width="10.5703125" customWidth="1"/>
    <col min="8705" max="8705" width="1.5703125" customWidth="1"/>
    <col min="8706" max="8706" width="22.28515625" customWidth="1"/>
    <col min="8707" max="8707" width="6.42578125" customWidth="1"/>
    <col min="8708" max="8708" width="7.5703125" customWidth="1"/>
    <col min="8709" max="8709" width="12.42578125" customWidth="1"/>
    <col min="8710" max="8711" width="10" customWidth="1"/>
    <col min="8712" max="8712" width="9.28515625" customWidth="1"/>
    <col min="8713" max="8713" width="9" customWidth="1"/>
    <col min="8714" max="8714" width="10.5703125" customWidth="1"/>
    <col min="8715" max="8717" width="0" hidden="1" customWidth="1"/>
    <col min="8718" max="8726" width="10.5703125" customWidth="1"/>
    <col min="8961" max="8961" width="1.5703125" customWidth="1"/>
    <col min="8962" max="8962" width="22.28515625" customWidth="1"/>
    <col min="8963" max="8963" width="6.42578125" customWidth="1"/>
    <col min="8964" max="8964" width="7.5703125" customWidth="1"/>
    <col min="8965" max="8965" width="12.42578125" customWidth="1"/>
    <col min="8966" max="8967" width="10" customWidth="1"/>
    <col min="8968" max="8968" width="9.28515625" customWidth="1"/>
    <col min="8969" max="8969" width="9" customWidth="1"/>
    <col min="8970" max="8970" width="10.5703125" customWidth="1"/>
    <col min="8971" max="8973" width="0" hidden="1" customWidth="1"/>
    <col min="8974" max="8982" width="10.5703125" customWidth="1"/>
    <col min="9217" max="9217" width="1.5703125" customWidth="1"/>
    <col min="9218" max="9218" width="22.28515625" customWidth="1"/>
    <col min="9219" max="9219" width="6.42578125" customWidth="1"/>
    <col min="9220" max="9220" width="7.5703125" customWidth="1"/>
    <col min="9221" max="9221" width="12.42578125" customWidth="1"/>
    <col min="9222" max="9223" width="10" customWidth="1"/>
    <col min="9224" max="9224" width="9.28515625" customWidth="1"/>
    <col min="9225" max="9225" width="9" customWidth="1"/>
    <col min="9226" max="9226" width="10.5703125" customWidth="1"/>
    <col min="9227" max="9229" width="0" hidden="1" customWidth="1"/>
    <col min="9230" max="9238" width="10.5703125" customWidth="1"/>
    <col min="9473" max="9473" width="1.5703125" customWidth="1"/>
    <col min="9474" max="9474" width="22.28515625" customWidth="1"/>
    <col min="9475" max="9475" width="6.42578125" customWidth="1"/>
    <col min="9476" max="9476" width="7.5703125" customWidth="1"/>
    <col min="9477" max="9477" width="12.42578125" customWidth="1"/>
    <col min="9478" max="9479" width="10" customWidth="1"/>
    <col min="9480" max="9480" width="9.28515625" customWidth="1"/>
    <col min="9481" max="9481" width="9" customWidth="1"/>
    <col min="9482" max="9482" width="10.5703125" customWidth="1"/>
    <col min="9483" max="9485" width="0" hidden="1" customWidth="1"/>
    <col min="9486" max="9494" width="10.5703125" customWidth="1"/>
    <col min="9729" max="9729" width="1.5703125" customWidth="1"/>
    <col min="9730" max="9730" width="22.28515625" customWidth="1"/>
    <col min="9731" max="9731" width="6.42578125" customWidth="1"/>
    <col min="9732" max="9732" width="7.5703125" customWidth="1"/>
    <col min="9733" max="9733" width="12.42578125" customWidth="1"/>
    <col min="9734" max="9735" width="10" customWidth="1"/>
    <col min="9736" max="9736" width="9.28515625" customWidth="1"/>
    <col min="9737" max="9737" width="9" customWidth="1"/>
    <col min="9738" max="9738" width="10.5703125" customWidth="1"/>
    <col min="9739" max="9741" width="0" hidden="1" customWidth="1"/>
    <col min="9742" max="9750" width="10.5703125" customWidth="1"/>
    <col min="9985" max="9985" width="1.5703125" customWidth="1"/>
    <col min="9986" max="9986" width="22.28515625" customWidth="1"/>
    <col min="9987" max="9987" width="6.42578125" customWidth="1"/>
    <col min="9988" max="9988" width="7.5703125" customWidth="1"/>
    <col min="9989" max="9989" width="12.42578125" customWidth="1"/>
    <col min="9990" max="9991" width="10" customWidth="1"/>
    <col min="9992" max="9992" width="9.28515625" customWidth="1"/>
    <col min="9993" max="9993" width="9" customWidth="1"/>
    <col min="9994" max="9994" width="10.5703125" customWidth="1"/>
    <col min="9995" max="9997" width="0" hidden="1" customWidth="1"/>
    <col min="9998" max="10006" width="10.5703125" customWidth="1"/>
    <col min="10241" max="10241" width="1.5703125" customWidth="1"/>
    <col min="10242" max="10242" width="22.28515625" customWidth="1"/>
    <col min="10243" max="10243" width="6.42578125" customWidth="1"/>
    <col min="10244" max="10244" width="7.5703125" customWidth="1"/>
    <col min="10245" max="10245" width="12.42578125" customWidth="1"/>
    <col min="10246" max="10247" width="10" customWidth="1"/>
    <col min="10248" max="10248" width="9.28515625" customWidth="1"/>
    <col min="10249" max="10249" width="9" customWidth="1"/>
    <col min="10250" max="10250" width="10.5703125" customWidth="1"/>
    <col min="10251" max="10253" width="0" hidden="1" customWidth="1"/>
    <col min="10254" max="10262" width="10.5703125" customWidth="1"/>
    <col min="10497" max="10497" width="1.5703125" customWidth="1"/>
    <col min="10498" max="10498" width="22.28515625" customWidth="1"/>
    <col min="10499" max="10499" width="6.42578125" customWidth="1"/>
    <col min="10500" max="10500" width="7.5703125" customWidth="1"/>
    <col min="10501" max="10501" width="12.42578125" customWidth="1"/>
    <col min="10502" max="10503" width="10" customWidth="1"/>
    <col min="10504" max="10504" width="9.28515625" customWidth="1"/>
    <col min="10505" max="10505" width="9" customWidth="1"/>
    <col min="10506" max="10506" width="10.5703125" customWidth="1"/>
    <col min="10507" max="10509" width="0" hidden="1" customWidth="1"/>
    <col min="10510" max="10518" width="10.5703125" customWidth="1"/>
    <col min="10753" max="10753" width="1.5703125" customWidth="1"/>
    <col min="10754" max="10754" width="22.28515625" customWidth="1"/>
    <col min="10755" max="10755" width="6.42578125" customWidth="1"/>
    <col min="10756" max="10756" width="7.5703125" customWidth="1"/>
    <col min="10757" max="10757" width="12.42578125" customWidth="1"/>
    <col min="10758" max="10759" width="10" customWidth="1"/>
    <col min="10760" max="10760" width="9.28515625" customWidth="1"/>
    <col min="10761" max="10761" width="9" customWidth="1"/>
    <col min="10762" max="10762" width="10.5703125" customWidth="1"/>
    <col min="10763" max="10765" width="0" hidden="1" customWidth="1"/>
    <col min="10766" max="10774" width="10.5703125" customWidth="1"/>
    <col min="11009" max="11009" width="1.5703125" customWidth="1"/>
    <col min="11010" max="11010" width="22.28515625" customWidth="1"/>
    <col min="11011" max="11011" width="6.42578125" customWidth="1"/>
    <col min="11012" max="11012" width="7.5703125" customWidth="1"/>
    <col min="11013" max="11013" width="12.42578125" customWidth="1"/>
    <col min="11014" max="11015" width="10" customWidth="1"/>
    <col min="11016" max="11016" width="9.28515625" customWidth="1"/>
    <col min="11017" max="11017" width="9" customWidth="1"/>
    <col min="11018" max="11018" width="10.5703125" customWidth="1"/>
    <col min="11019" max="11021" width="0" hidden="1" customWidth="1"/>
    <col min="11022" max="11030" width="10.5703125" customWidth="1"/>
    <col min="11265" max="11265" width="1.5703125" customWidth="1"/>
    <col min="11266" max="11266" width="22.28515625" customWidth="1"/>
    <col min="11267" max="11267" width="6.42578125" customWidth="1"/>
    <col min="11268" max="11268" width="7.5703125" customWidth="1"/>
    <col min="11269" max="11269" width="12.42578125" customWidth="1"/>
    <col min="11270" max="11271" width="10" customWidth="1"/>
    <col min="11272" max="11272" width="9.28515625" customWidth="1"/>
    <col min="11273" max="11273" width="9" customWidth="1"/>
    <col min="11274" max="11274" width="10.5703125" customWidth="1"/>
    <col min="11275" max="11277" width="0" hidden="1" customWidth="1"/>
    <col min="11278" max="11286" width="10.5703125" customWidth="1"/>
    <col min="11521" max="11521" width="1.5703125" customWidth="1"/>
    <col min="11522" max="11522" width="22.28515625" customWidth="1"/>
    <col min="11523" max="11523" width="6.42578125" customWidth="1"/>
    <col min="11524" max="11524" width="7.5703125" customWidth="1"/>
    <col min="11525" max="11525" width="12.42578125" customWidth="1"/>
    <col min="11526" max="11527" width="10" customWidth="1"/>
    <col min="11528" max="11528" width="9.28515625" customWidth="1"/>
    <col min="11529" max="11529" width="9" customWidth="1"/>
    <col min="11530" max="11530" width="10.5703125" customWidth="1"/>
    <col min="11531" max="11533" width="0" hidden="1" customWidth="1"/>
    <col min="11534" max="11542" width="10.5703125" customWidth="1"/>
    <col min="11777" max="11777" width="1.5703125" customWidth="1"/>
    <col min="11778" max="11778" width="22.28515625" customWidth="1"/>
    <col min="11779" max="11779" width="6.42578125" customWidth="1"/>
    <col min="11780" max="11780" width="7.5703125" customWidth="1"/>
    <col min="11781" max="11781" width="12.42578125" customWidth="1"/>
    <col min="11782" max="11783" width="10" customWidth="1"/>
    <col min="11784" max="11784" width="9.28515625" customWidth="1"/>
    <col min="11785" max="11785" width="9" customWidth="1"/>
    <col min="11786" max="11786" width="10.5703125" customWidth="1"/>
    <col min="11787" max="11789" width="0" hidden="1" customWidth="1"/>
    <col min="11790" max="11798" width="10.5703125" customWidth="1"/>
    <col min="12033" max="12033" width="1.5703125" customWidth="1"/>
    <col min="12034" max="12034" width="22.28515625" customWidth="1"/>
    <col min="12035" max="12035" width="6.42578125" customWidth="1"/>
    <col min="12036" max="12036" width="7.5703125" customWidth="1"/>
    <col min="12037" max="12037" width="12.42578125" customWidth="1"/>
    <col min="12038" max="12039" width="10" customWidth="1"/>
    <col min="12040" max="12040" width="9.28515625" customWidth="1"/>
    <col min="12041" max="12041" width="9" customWidth="1"/>
    <col min="12042" max="12042" width="10.5703125" customWidth="1"/>
    <col min="12043" max="12045" width="0" hidden="1" customWidth="1"/>
    <col min="12046" max="12054" width="10.5703125" customWidth="1"/>
    <col min="12289" max="12289" width="1.5703125" customWidth="1"/>
    <col min="12290" max="12290" width="22.28515625" customWidth="1"/>
    <col min="12291" max="12291" width="6.42578125" customWidth="1"/>
    <col min="12292" max="12292" width="7.5703125" customWidth="1"/>
    <col min="12293" max="12293" width="12.42578125" customWidth="1"/>
    <col min="12294" max="12295" width="10" customWidth="1"/>
    <col min="12296" max="12296" width="9.28515625" customWidth="1"/>
    <col min="12297" max="12297" width="9" customWidth="1"/>
    <col min="12298" max="12298" width="10.5703125" customWidth="1"/>
    <col min="12299" max="12301" width="0" hidden="1" customWidth="1"/>
    <col min="12302" max="12310" width="10.5703125" customWidth="1"/>
    <col min="12545" max="12545" width="1.5703125" customWidth="1"/>
    <col min="12546" max="12546" width="22.28515625" customWidth="1"/>
    <col min="12547" max="12547" width="6.42578125" customWidth="1"/>
    <col min="12548" max="12548" width="7.5703125" customWidth="1"/>
    <col min="12549" max="12549" width="12.42578125" customWidth="1"/>
    <col min="12550" max="12551" width="10" customWidth="1"/>
    <col min="12552" max="12552" width="9.28515625" customWidth="1"/>
    <col min="12553" max="12553" width="9" customWidth="1"/>
    <col min="12554" max="12554" width="10.5703125" customWidth="1"/>
    <col min="12555" max="12557" width="0" hidden="1" customWidth="1"/>
    <col min="12558" max="12566" width="10.5703125" customWidth="1"/>
    <col min="12801" max="12801" width="1.5703125" customWidth="1"/>
    <col min="12802" max="12802" width="22.28515625" customWidth="1"/>
    <col min="12803" max="12803" width="6.42578125" customWidth="1"/>
    <col min="12804" max="12804" width="7.5703125" customWidth="1"/>
    <col min="12805" max="12805" width="12.42578125" customWidth="1"/>
    <col min="12806" max="12807" width="10" customWidth="1"/>
    <col min="12808" max="12808" width="9.28515625" customWidth="1"/>
    <col min="12809" max="12809" width="9" customWidth="1"/>
    <col min="12810" max="12810" width="10.5703125" customWidth="1"/>
    <col min="12811" max="12813" width="0" hidden="1" customWidth="1"/>
    <col min="12814" max="12822" width="10.5703125" customWidth="1"/>
    <col min="13057" max="13057" width="1.5703125" customWidth="1"/>
    <col min="13058" max="13058" width="22.28515625" customWidth="1"/>
    <col min="13059" max="13059" width="6.42578125" customWidth="1"/>
    <col min="13060" max="13060" width="7.5703125" customWidth="1"/>
    <col min="13061" max="13061" width="12.42578125" customWidth="1"/>
    <col min="13062" max="13063" width="10" customWidth="1"/>
    <col min="13064" max="13064" width="9.28515625" customWidth="1"/>
    <col min="13065" max="13065" width="9" customWidth="1"/>
    <col min="13066" max="13066" width="10.5703125" customWidth="1"/>
    <col min="13067" max="13069" width="0" hidden="1" customWidth="1"/>
    <col min="13070" max="13078" width="10.5703125" customWidth="1"/>
    <col min="13313" max="13313" width="1.5703125" customWidth="1"/>
    <col min="13314" max="13314" width="22.28515625" customWidth="1"/>
    <col min="13315" max="13315" width="6.42578125" customWidth="1"/>
    <col min="13316" max="13316" width="7.5703125" customWidth="1"/>
    <col min="13317" max="13317" width="12.42578125" customWidth="1"/>
    <col min="13318" max="13319" width="10" customWidth="1"/>
    <col min="13320" max="13320" width="9.28515625" customWidth="1"/>
    <col min="13321" max="13321" width="9" customWidth="1"/>
    <col min="13322" max="13322" width="10.5703125" customWidth="1"/>
    <col min="13323" max="13325" width="0" hidden="1" customWidth="1"/>
    <col min="13326" max="13334" width="10.5703125" customWidth="1"/>
    <col min="13569" max="13569" width="1.5703125" customWidth="1"/>
    <col min="13570" max="13570" width="22.28515625" customWidth="1"/>
    <col min="13571" max="13571" width="6.42578125" customWidth="1"/>
    <col min="13572" max="13572" width="7.5703125" customWidth="1"/>
    <col min="13573" max="13573" width="12.42578125" customWidth="1"/>
    <col min="13574" max="13575" width="10" customWidth="1"/>
    <col min="13576" max="13576" width="9.28515625" customWidth="1"/>
    <col min="13577" max="13577" width="9" customWidth="1"/>
    <col min="13578" max="13578" width="10.5703125" customWidth="1"/>
    <col min="13579" max="13581" width="0" hidden="1" customWidth="1"/>
    <col min="13582" max="13590" width="10.5703125" customWidth="1"/>
    <col min="13825" max="13825" width="1.5703125" customWidth="1"/>
    <col min="13826" max="13826" width="22.28515625" customWidth="1"/>
    <col min="13827" max="13827" width="6.42578125" customWidth="1"/>
    <col min="13828" max="13828" width="7.5703125" customWidth="1"/>
    <col min="13829" max="13829" width="12.42578125" customWidth="1"/>
    <col min="13830" max="13831" width="10" customWidth="1"/>
    <col min="13832" max="13832" width="9.28515625" customWidth="1"/>
    <col min="13833" max="13833" width="9" customWidth="1"/>
    <col min="13834" max="13834" width="10.5703125" customWidth="1"/>
    <col min="13835" max="13837" width="0" hidden="1" customWidth="1"/>
    <col min="13838" max="13846" width="10.5703125" customWidth="1"/>
    <col min="14081" max="14081" width="1.5703125" customWidth="1"/>
    <col min="14082" max="14082" width="22.28515625" customWidth="1"/>
    <col min="14083" max="14083" width="6.42578125" customWidth="1"/>
    <col min="14084" max="14084" width="7.5703125" customWidth="1"/>
    <col min="14085" max="14085" width="12.42578125" customWidth="1"/>
    <col min="14086" max="14087" width="10" customWidth="1"/>
    <col min="14088" max="14088" width="9.28515625" customWidth="1"/>
    <col min="14089" max="14089" width="9" customWidth="1"/>
    <col min="14090" max="14090" width="10.5703125" customWidth="1"/>
    <col min="14091" max="14093" width="0" hidden="1" customWidth="1"/>
    <col min="14094" max="14102" width="10.5703125" customWidth="1"/>
    <col min="14337" max="14337" width="1.5703125" customWidth="1"/>
    <col min="14338" max="14338" width="22.28515625" customWidth="1"/>
    <col min="14339" max="14339" width="6.42578125" customWidth="1"/>
    <col min="14340" max="14340" width="7.5703125" customWidth="1"/>
    <col min="14341" max="14341" width="12.42578125" customWidth="1"/>
    <col min="14342" max="14343" width="10" customWidth="1"/>
    <col min="14344" max="14344" width="9.28515625" customWidth="1"/>
    <col min="14345" max="14345" width="9" customWidth="1"/>
    <col min="14346" max="14346" width="10.5703125" customWidth="1"/>
    <col min="14347" max="14349" width="0" hidden="1" customWidth="1"/>
    <col min="14350" max="14358" width="10.5703125" customWidth="1"/>
    <col min="14593" max="14593" width="1.5703125" customWidth="1"/>
    <col min="14594" max="14594" width="22.28515625" customWidth="1"/>
    <col min="14595" max="14595" width="6.42578125" customWidth="1"/>
    <col min="14596" max="14596" width="7.5703125" customWidth="1"/>
    <col min="14597" max="14597" width="12.42578125" customWidth="1"/>
    <col min="14598" max="14599" width="10" customWidth="1"/>
    <col min="14600" max="14600" width="9.28515625" customWidth="1"/>
    <col min="14601" max="14601" width="9" customWidth="1"/>
    <col min="14602" max="14602" width="10.5703125" customWidth="1"/>
    <col min="14603" max="14605" width="0" hidden="1" customWidth="1"/>
    <col min="14606" max="14614" width="10.5703125" customWidth="1"/>
    <col min="14849" max="14849" width="1.5703125" customWidth="1"/>
    <col min="14850" max="14850" width="22.28515625" customWidth="1"/>
    <col min="14851" max="14851" width="6.42578125" customWidth="1"/>
    <col min="14852" max="14852" width="7.5703125" customWidth="1"/>
    <col min="14853" max="14853" width="12.42578125" customWidth="1"/>
    <col min="14854" max="14855" width="10" customWidth="1"/>
    <col min="14856" max="14856" width="9.28515625" customWidth="1"/>
    <col min="14857" max="14857" width="9" customWidth="1"/>
    <col min="14858" max="14858" width="10.5703125" customWidth="1"/>
    <col min="14859" max="14861" width="0" hidden="1" customWidth="1"/>
    <col min="14862" max="14870" width="10.5703125" customWidth="1"/>
    <col min="15105" max="15105" width="1.5703125" customWidth="1"/>
    <col min="15106" max="15106" width="22.28515625" customWidth="1"/>
    <col min="15107" max="15107" width="6.42578125" customWidth="1"/>
    <col min="15108" max="15108" width="7.5703125" customWidth="1"/>
    <col min="15109" max="15109" width="12.42578125" customWidth="1"/>
    <col min="15110" max="15111" width="10" customWidth="1"/>
    <col min="15112" max="15112" width="9.28515625" customWidth="1"/>
    <col min="15113" max="15113" width="9" customWidth="1"/>
    <col min="15114" max="15114" width="10.5703125" customWidth="1"/>
    <col min="15115" max="15117" width="0" hidden="1" customWidth="1"/>
    <col min="15118" max="15126" width="10.5703125" customWidth="1"/>
    <col min="15361" max="15361" width="1.5703125" customWidth="1"/>
    <col min="15362" max="15362" width="22.28515625" customWidth="1"/>
    <col min="15363" max="15363" width="6.42578125" customWidth="1"/>
    <col min="15364" max="15364" width="7.5703125" customWidth="1"/>
    <col min="15365" max="15365" width="12.42578125" customWidth="1"/>
    <col min="15366" max="15367" width="10" customWidth="1"/>
    <col min="15368" max="15368" width="9.28515625" customWidth="1"/>
    <col min="15369" max="15369" width="9" customWidth="1"/>
    <col min="15370" max="15370" width="10.5703125" customWidth="1"/>
    <col min="15371" max="15373" width="0" hidden="1" customWidth="1"/>
    <col min="15374" max="15382" width="10.5703125" customWidth="1"/>
    <col min="15617" max="15617" width="1.5703125" customWidth="1"/>
    <col min="15618" max="15618" width="22.28515625" customWidth="1"/>
    <col min="15619" max="15619" width="6.42578125" customWidth="1"/>
    <col min="15620" max="15620" width="7.5703125" customWidth="1"/>
    <col min="15621" max="15621" width="12.42578125" customWidth="1"/>
    <col min="15622" max="15623" width="10" customWidth="1"/>
    <col min="15624" max="15624" width="9.28515625" customWidth="1"/>
    <col min="15625" max="15625" width="9" customWidth="1"/>
    <col min="15626" max="15626" width="10.5703125" customWidth="1"/>
    <col min="15627" max="15629" width="0" hidden="1" customWidth="1"/>
    <col min="15630" max="15638" width="10.5703125" customWidth="1"/>
    <col min="15873" max="15873" width="1.5703125" customWidth="1"/>
    <col min="15874" max="15874" width="22.28515625" customWidth="1"/>
    <col min="15875" max="15875" width="6.42578125" customWidth="1"/>
    <col min="15876" max="15876" width="7.5703125" customWidth="1"/>
    <col min="15877" max="15877" width="12.42578125" customWidth="1"/>
    <col min="15878" max="15879" width="10" customWidth="1"/>
    <col min="15880" max="15880" width="9.28515625" customWidth="1"/>
    <col min="15881" max="15881" width="9" customWidth="1"/>
    <col min="15882" max="15882" width="10.5703125" customWidth="1"/>
    <col min="15883" max="15885" width="0" hidden="1" customWidth="1"/>
    <col min="15886" max="15894" width="10.5703125" customWidth="1"/>
    <col min="16129" max="16129" width="1.5703125" customWidth="1"/>
    <col min="16130" max="16130" width="22.28515625" customWidth="1"/>
    <col min="16131" max="16131" width="6.42578125" customWidth="1"/>
    <col min="16132" max="16132" width="7.5703125" customWidth="1"/>
    <col min="16133" max="16133" width="12.42578125" customWidth="1"/>
    <col min="16134" max="16135" width="10" customWidth="1"/>
    <col min="16136" max="16136" width="9.28515625" customWidth="1"/>
    <col min="16137" max="16137" width="9" customWidth="1"/>
    <col min="16138" max="16138" width="10.5703125" customWidth="1"/>
    <col min="16139" max="16141" width="0" hidden="1" customWidth="1"/>
    <col min="16142" max="16150" width="10.5703125" customWidth="1"/>
  </cols>
  <sheetData>
    <row r="1" spans="1:19" ht="27" customHeight="1" x14ac:dyDescent="0.25"/>
    <row r="2" spans="1:19" ht="27" customHeight="1" x14ac:dyDescent="0.25"/>
    <row r="3" spans="1:19" ht="27" customHeight="1" x14ac:dyDescent="0.25">
      <c r="Q3" s="298" t="e">
        <f>IF(C23=Q5,"OK","Error")</f>
        <v>#REF!</v>
      </c>
      <c r="R3" s="298"/>
      <c r="S3" s="298"/>
    </row>
    <row r="4" spans="1:19" ht="27" customHeight="1" thickBot="1" x14ac:dyDescent="0.4">
      <c r="B4" s="390" t="s">
        <v>67</v>
      </c>
      <c r="C4" s="390"/>
      <c r="D4" s="390"/>
      <c r="E4" s="390"/>
      <c r="F4" s="390"/>
      <c r="G4" s="390"/>
      <c r="H4" s="390"/>
      <c r="I4" s="390"/>
      <c r="J4" s="390"/>
      <c r="Q4" s="299"/>
      <c r="R4" s="299"/>
      <c r="S4" s="299"/>
    </row>
    <row r="5" spans="1:19" ht="20.25" x14ac:dyDescent="0.3">
      <c r="G5" s="81" t="s">
        <v>68</v>
      </c>
      <c r="Q5" s="300" t="e">
        <f>J22/F22</f>
        <v>#REF!</v>
      </c>
      <c r="R5" s="301"/>
      <c r="S5" s="302"/>
    </row>
    <row r="6" spans="1:19" ht="27" customHeight="1" x14ac:dyDescent="0.3">
      <c r="B6" s="391" t="s">
        <v>69</v>
      </c>
      <c r="C6" s="391"/>
      <c r="D6" s="391"/>
      <c r="E6" s="391"/>
      <c r="F6" s="391"/>
      <c r="G6" s="391"/>
      <c r="H6" s="391"/>
      <c r="I6" s="391"/>
      <c r="J6" s="391"/>
      <c r="K6" s="82"/>
      <c r="Q6" s="303"/>
      <c r="R6" s="304"/>
      <c r="S6" s="305"/>
    </row>
    <row r="7" spans="1:19" ht="27" customHeight="1" thickBot="1" x14ac:dyDescent="0.35">
      <c r="B7" s="391" t="s">
        <v>84</v>
      </c>
      <c r="C7" s="391"/>
      <c r="D7" s="391"/>
      <c r="E7" s="391"/>
      <c r="F7" s="391"/>
      <c r="G7" s="391"/>
      <c r="H7" s="391"/>
      <c r="I7" s="391"/>
      <c r="J7" s="391"/>
      <c r="K7" s="82"/>
      <c r="Q7" s="303"/>
      <c r="R7" s="304"/>
      <c r="S7" s="305"/>
    </row>
    <row r="8" spans="1:19" ht="27" hidden="1" customHeight="1" thickBot="1" x14ac:dyDescent="0.35">
      <c r="B8" s="391" t="e">
        <f>#REF!</f>
        <v>#REF!</v>
      </c>
      <c r="C8" s="391"/>
      <c r="D8" s="391"/>
      <c r="E8" s="391"/>
      <c r="F8" s="391"/>
      <c r="G8" s="391"/>
      <c r="H8" s="391"/>
      <c r="I8" s="391"/>
      <c r="J8" s="391"/>
      <c r="K8" s="82"/>
      <c r="Q8" s="303"/>
      <c r="R8" s="304"/>
      <c r="S8" s="305"/>
    </row>
    <row r="9" spans="1:19" ht="23.25" hidden="1" thickBot="1" x14ac:dyDescent="0.35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Q9" s="303"/>
      <c r="R9" s="304"/>
      <c r="S9" s="305"/>
    </row>
    <row r="10" spans="1:19" ht="42" customHeight="1" thickBot="1" x14ac:dyDescent="0.3">
      <c r="A10" s="84"/>
      <c r="B10" s="95" t="s">
        <v>70</v>
      </c>
      <c r="C10" s="392">
        <v>1901</v>
      </c>
      <c r="D10" s="392"/>
      <c r="E10" s="392"/>
      <c r="F10" s="393" t="s">
        <v>71</v>
      </c>
      <c r="G10" s="393"/>
      <c r="H10" s="392" t="e">
        <f>UPPER(VLOOKUP($C$10,#REF!,2,FALSE))</f>
        <v>#REF!</v>
      </c>
      <c r="I10" s="392"/>
      <c r="J10" s="394"/>
      <c r="Q10" s="306"/>
      <c r="R10" s="307"/>
      <c r="S10" s="308"/>
    </row>
    <row r="11" spans="1:19" ht="42" customHeight="1" x14ac:dyDescent="0.25">
      <c r="A11" s="85"/>
      <c r="B11" s="97" t="s">
        <v>72</v>
      </c>
      <c r="C11" s="361" t="e">
        <f>PROPER(VLOOKUP($C$10,#REF!,3,FALSE))</f>
        <v>#REF!</v>
      </c>
      <c r="D11" s="361"/>
      <c r="E11" s="361"/>
      <c r="F11" s="362" t="s">
        <v>73</v>
      </c>
      <c r="G11" s="362"/>
      <c r="H11" s="361" t="e">
        <f>PROPER(VLOOKUP($C$10,#REF!,4,FALSE))</f>
        <v>#REF!</v>
      </c>
      <c r="I11" s="361"/>
      <c r="J11" s="363"/>
    </row>
    <row r="12" spans="1:19" ht="42" customHeight="1" thickBot="1" x14ac:dyDescent="0.3">
      <c r="A12" s="85"/>
      <c r="B12" s="96" t="s">
        <v>25</v>
      </c>
      <c r="C12" s="387" t="e">
        <f>#REF!</f>
        <v>#REF!</v>
      </c>
      <c r="D12" s="387"/>
      <c r="E12" s="387"/>
      <c r="F12" s="388" t="s">
        <v>22</v>
      </c>
      <c r="G12" s="388"/>
      <c r="H12" s="387" t="e">
        <f>#REF!</f>
        <v>#REF!</v>
      </c>
      <c r="I12" s="387"/>
      <c r="J12" s="389"/>
    </row>
    <row r="13" spans="1:19" ht="16.5" thickBot="1" x14ac:dyDescent="0.3">
      <c r="A13" s="85"/>
      <c r="B13" s="85"/>
      <c r="C13" s="85"/>
      <c r="D13" s="85"/>
      <c r="E13" s="85"/>
      <c r="F13" s="80"/>
      <c r="G13" s="80"/>
    </row>
    <row r="14" spans="1:19" x14ac:dyDescent="0.25">
      <c r="B14" s="364" t="s">
        <v>74</v>
      </c>
      <c r="C14" s="365"/>
      <c r="D14" s="365"/>
      <c r="E14" s="366"/>
      <c r="F14" s="370" t="s">
        <v>75</v>
      </c>
      <c r="G14" s="370" t="s">
        <v>12</v>
      </c>
      <c r="H14" s="370" t="s">
        <v>7</v>
      </c>
      <c r="I14" s="372" t="s">
        <v>76</v>
      </c>
      <c r="J14" s="93" t="s">
        <v>77</v>
      </c>
    </row>
    <row r="15" spans="1:19" ht="21" customHeight="1" thickBot="1" x14ac:dyDescent="0.3">
      <c r="B15" s="367"/>
      <c r="C15" s="368"/>
      <c r="D15" s="368"/>
      <c r="E15" s="369"/>
      <c r="F15" s="371"/>
      <c r="G15" s="371"/>
      <c r="H15" s="371"/>
      <c r="I15" s="373"/>
      <c r="J15" s="94" t="s">
        <v>78</v>
      </c>
    </row>
    <row r="16" spans="1:19" ht="36.75" customHeight="1" x14ac:dyDescent="0.25">
      <c r="B16" s="395" t="e">
        <f>#REF!</f>
        <v>#REF!</v>
      </c>
      <c r="C16" s="396"/>
      <c r="D16" s="396"/>
      <c r="E16" s="397"/>
      <c r="F16" s="101" t="e">
        <f>#REF!</f>
        <v>#REF!</v>
      </c>
      <c r="G16" s="102" t="e">
        <f>VLOOKUP($C$10,'sheet 1'!#REF!,48,FALSE)</f>
        <v>#REF!</v>
      </c>
      <c r="H16" s="101" t="e">
        <f t="shared" ref="H16:H21" si="0">IF(G16&gt;89.99,"A+",IF(G16&gt;79.99,"A",IF(G16&gt;74.99,"B+",IF(G16&gt;69.99,"B",IF(G16&gt;64.99,"C+",IF(G16&gt;59.99,"C",IF(G16&gt;54.99,"D+",IF(G16&gt;49.99,"D","F"))))))))</f>
        <v>#REF!</v>
      </c>
      <c r="I16" s="102" t="e">
        <f t="shared" ref="I16:I21" si="1">IF(G16&gt;79.99,4,IF(G16&gt;74.99,G16/10-4,IF(G16&gt;69.99,G16/10-4,IF(G16&gt;64.99,G16/10-4,IF(G16&gt;59.99,G16/10-4,IF(G16&gt;54.99,G16/10-4,IF(G16&gt;49.99,G16/10-4,"0.00")))))))</f>
        <v>#REF!</v>
      </c>
      <c r="J16" s="103" t="e">
        <f t="shared" ref="J16:J21" si="2">F16*I16</f>
        <v>#REF!</v>
      </c>
    </row>
    <row r="17" spans="1:17" ht="36.75" customHeight="1" x14ac:dyDescent="0.25">
      <c r="B17" s="374" t="e">
        <f>#REF!</f>
        <v>#REF!</v>
      </c>
      <c r="C17" s="375"/>
      <c r="D17" s="375"/>
      <c r="E17" s="376"/>
      <c r="F17" s="104" t="e">
        <f>#REF!</f>
        <v>#REF!</v>
      </c>
      <c r="G17" s="105" t="e">
        <f>VLOOKUP($C$10,'sheet 1'!#REF!,52,FALSE)</f>
        <v>#REF!</v>
      </c>
      <c r="H17" s="104" t="e">
        <f t="shared" si="0"/>
        <v>#REF!</v>
      </c>
      <c r="I17" s="105" t="e">
        <f t="shared" si="1"/>
        <v>#REF!</v>
      </c>
      <c r="J17" s="106" t="e">
        <f t="shared" si="2"/>
        <v>#REF!</v>
      </c>
    </row>
    <row r="18" spans="1:17" ht="36.75" customHeight="1" x14ac:dyDescent="0.25">
      <c r="B18" s="374" t="e">
        <f>#REF!</f>
        <v>#REF!</v>
      </c>
      <c r="C18" s="375"/>
      <c r="D18" s="375"/>
      <c r="E18" s="376"/>
      <c r="F18" s="104" t="e">
        <f>#REF!</f>
        <v>#REF!</v>
      </c>
      <c r="G18" s="105" t="e">
        <f>VLOOKUP($C$10,'sheet 1'!#REF!,56,FALSE)</f>
        <v>#REF!</v>
      </c>
      <c r="H18" s="104" t="e">
        <f t="shared" si="0"/>
        <v>#REF!</v>
      </c>
      <c r="I18" s="105" t="e">
        <f t="shared" si="1"/>
        <v>#REF!</v>
      </c>
      <c r="J18" s="106" t="e">
        <f t="shared" si="2"/>
        <v>#REF!</v>
      </c>
    </row>
    <row r="19" spans="1:17" ht="36.75" customHeight="1" x14ac:dyDescent="0.25">
      <c r="B19" s="374" t="e">
        <f>#REF!</f>
        <v>#REF!</v>
      </c>
      <c r="C19" s="375"/>
      <c r="D19" s="375"/>
      <c r="E19" s="376"/>
      <c r="F19" s="104" t="e">
        <f>#REF!</f>
        <v>#REF!</v>
      </c>
      <c r="G19" s="105" t="e">
        <f>VLOOKUP($C$10,'sheet 1'!#REF!,60,FALSE)</f>
        <v>#REF!</v>
      </c>
      <c r="H19" s="104" t="e">
        <f t="shared" si="0"/>
        <v>#REF!</v>
      </c>
      <c r="I19" s="105" t="e">
        <f t="shared" si="1"/>
        <v>#REF!</v>
      </c>
      <c r="J19" s="106" t="e">
        <f t="shared" si="2"/>
        <v>#REF!</v>
      </c>
    </row>
    <row r="20" spans="1:17" ht="36.75" customHeight="1" x14ac:dyDescent="0.25">
      <c r="B20" s="374" t="e">
        <f>#REF!</f>
        <v>#REF!</v>
      </c>
      <c r="C20" s="375"/>
      <c r="D20" s="375"/>
      <c r="E20" s="376"/>
      <c r="F20" s="104" t="e">
        <f>#REF!</f>
        <v>#REF!</v>
      </c>
      <c r="G20" s="105" t="e">
        <f>VLOOKUP($C$10,'sheet 1'!#REF!,64,FALSE)</f>
        <v>#REF!</v>
      </c>
      <c r="H20" s="104" t="e">
        <f t="shared" si="0"/>
        <v>#REF!</v>
      </c>
      <c r="I20" s="105" t="e">
        <f t="shared" si="1"/>
        <v>#REF!</v>
      </c>
      <c r="J20" s="106" t="e">
        <f t="shared" si="2"/>
        <v>#REF!</v>
      </c>
    </row>
    <row r="21" spans="1:17" ht="36.75" customHeight="1" thickBot="1" x14ac:dyDescent="0.3">
      <c r="B21" s="398" t="e">
        <f>#REF!</f>
        <v>#REF!</v>
      </c>
      <c r="C21" s="399"/>
      <c r="D21" s="399"/>
      <c r="E21" s="400"/>
      <c r="F21" s="107" t="e">
        <f>#REF!</f>
        <v>#REF!</v>
      </c>
      <c r="G21" s="108" t="e">
        <f>VLOOKUP($C$10,'sheet 1'!#REF!,68,FALSE)</f>
        <v>#REF!</v>
      </c>
      <c r="H21" s="107" t="e">
        <f t="shared" si="0"/>
        <v>#REF!</v>
      </c>
      <c r="I21" s="108" t="e">
        <f t="shared" si="1"/>
        <v>#REF!</v>
      </c>
      <c r="J21" s="109" t="e">
        <f t="shared" si="2"/>
        <v>#REF!</v>
      </c>
    </row>
    <row r="22" spans="1:17" ht="15.75" thickBot="1" x14ac:dyDescent="0.3">
      <c r="F22" s="86" t="e">
        <f>SUM(F16:F21)</f>
        <v>#REF!</v>
      </c>
      <c r="J22" s="86" t="e">
        <f>SUM(J16:J21)</f>
        <v>#REF!</v>
      </c>
    </row>
    <row r="23" spans="1:17" ht="22.5" customHeight="1" x14ac:dyDescent="0.25">
      <c r="A23" t="s">
        <v>79</v>
      </c>
      <c r="B23" s="87" t="s">
        <v>85</v>
      </c>
      <c r="C23" s="380" t="e">
        <f>VLOOKUP($C$10,#REF!,11,FALSE)</f>
        <v>#REF!</v>
      </c>
      <c r="D23" s="381"/>
      <c r="L23" s="88" t="e">
        <f>SUM(G15:G21)</f>
        <v>#REF!</v>
      </c>
      <c r="Q23" s="89"/>
    </row>
    <row r="24" spans="1:17" ht="22.5" customHeight="1" x14ac:dyDescent="0.25">
      <c r="B24" s="90" t="s">
        <v>7</v>
      </c>
      <c r="C24" s="382" t="e">
        <f>IF(C23&gt;3.99,"A",IF(C23&gt;3.49,"B+",IF(C23&gt;2.99,"B",IF(C23&gt;2.49,"C+",IF(C23&gt;1.99,"C",IF(C23&gt;1.49,"D+",IF(C23&gt;0.99,"D","F")))))))</f>
        <v>#REF!</v>
      </c>
      <c r="D24" s="383"/>
      <c r="L24" s="91">
        <f>SUM(C15:C21)</f>
        <v>0</v>
      </c>
    </row>
    <row r="25" spans="1:17" ht="22.5" customHeight="1" x14ac:dyDescent="0.25">
      <c r="B25" s="90" t="s">
        <v>3</v>
      </c>
      <c r="C25" s="382" t="e">
        <f>IF(C23&gt;3.99,"Excellent",IF(C23&gt;3.49,"Very Good",IF(C23&gt;2.99,"Good",IF(C23&gt;2.49,"Fair",IF(C23&gt;1.99,"Fair",IF(C23&gt;1.49,"Pass (Probation)",IF(C23&gt;0.99,"Pass (Probation)","Fail")))))))</f>
        <v>#REF!</v>
      </c>
      <c r="D25" s="383"/>
    </row>
    <row r="26" spans="1:17" ht="22.5" customHeight="1" x14ac:dyDescent="0.25">
      <c r="B26" s="98" t="s">
        <v>6</v>
      </c>
      <c r="C26" s="382" t="e">
        <f>VLOOKUP($C$10,#REF!,11,FALSE)</f>
        <v>#REF!</v>
      </c>
      <c r="D26" s="383"/>
    </row>
    <row r="27" spans="1:17" ht="22.5" customHeight="1" thickBot="1" x14ac:dyDescent="0.35">
      <c r="B27" s="92" t="s">
        <v>81</v>
      </c>
      <c r="C27" s="384" t="e">
        <f>#REF!</f>
        <v>#REF!</v>
      </c>
      <c r="D27" s="385"/>
      <c r="G27" s="99" t="s">
        <v>61</v>
      </c>
    </row>
    <row r="28" spans="1:17" ht="18.75" x14ac:dyDescent="0.25">
      <c r="B28" s="386" t="s">
        <v>82</v>
      </c>
      <c r="C28" s="386"/>
      <c r="D28" s="386"/>
      <c r="G28" s="100" t="s">
        <v>4</v>
      </c>
    </row>
    <row r="29" spans="1:17" ht="15.75" x14ac:dyDescent="0.25">
      <c r="G29" s="79"/>
    </row>
  </sheetData>
  <mergeCells count="32">
    <mergeCell ref="C24:D24"/>
    <mergeCell ref="C25:D25"/>
    <mergeCell ref="C27:D27"/>
    <mergeCell ref="B28:D28"/>
    <mergeCell ref="C26:D26"/>
    <mergeCell ref="C23:D23"/>
    <mergeCell ref="B14:E15"/>
    <mergeCell ref="F14:F15"/>
    <mergeCell ref="G14:G15"/>
    <mergeCell ref="H14:H15"/>
    <mergeCell ref="B17:E17"/>
    <mergeCell ref="B18:E18"/>
    <mergeCell ref="B19:E19"/>
    <mergeCell ref="B20:E20"/>
    <mergeCell ref="B21:E21"/>
    <mergeCell ref="I14:I15"/>
    <mergeCell ref="B16:E16"/>
    <mergeCell ref="C11:E11"/>
    <mergeCell ref="F11:G11"/>
    <mergeCell ref="H11:J11"/>
    <mergeCell ref="C12:E12"/>
    <mergeCell ref="F12:G12"/>
    <mergeCell ref="H12:J12"/>
    <mergeCell ref="Q3:S4"/>
    <mergeCell ref="B4:J4"/>
    <mergeCell ref="Q5:S10"/>
    <mergeCell ref="B6:J6"/>
    <mergeCell ref="B7:J7"/>
    <mergeCell ref="B8:J8"/>
    <mergeCell ref="C10:E10"/>
    <mergeCell ref="F10:G10"/>
    <mergeCell ref="H10:J10"/>
  </mergeCells>
  <conditionalFormatting sqref="G16:G21">
    <cfRule type="cellIs" dxfId="5" priority="2" stopIfTrue="1" operator="lessThan">
      <formula>50</formula>
    </cfRule>
  </conditionalFormatting>
  <conditionalFormatting sqref="H16:H21">
    <cfRule type="containsText" dxfId="4" priority="1" stopIfTrue="1" operator="containsText" text="F">
      <formula>NOT(ISERROR(SEARCH("F",H16)))</formula>
    </cfRule>
  </conditionalFormatting>
  <printOptions horizontalCentered="1"/>
  <pageMargins left="0.19685039370078741" right="0.19685039370078741" top="0.27559055118110237" bottom="0.19685039370078741" header="0.31496062992125984" footer="0.31496062992125984"/>
  <pageSetup paperSize="9" orientation="portrait" horizontalDpi="4294967295" verticalDpi="4294967295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9"/>
  <sheetViews>
    <sheetView view="pageBreakPreview" topLeftCell="A2" zoomScale="115" zoomScaleNormal="100" zoomScaleSheetLayoutView="115" workbookViewId="0">
      <selection activeCell="V10" sqref="V10:V160"/>
    </sheetView>
  </sheetViews>
  <sheetFormatPr defaultRowHeight="15" x14ac:dyDescent="0.25"/>
  <cols>
    <col min="1" max="1" width="1.5703125" customWidth="1"/>
    <col min="2" max="2" width="22.28515625" customWidth="1"/>
    <col min="3" max="3" width="6.42578125" customWidth="1"/>
    <col min="4" max="4" width="7.5703125" customWidth="1"/>
    <col min="5" max="5" width="12.42578125" customWidth="1"/>
    <col min="6" max="7" width="10" customWidth="1"/>
    <col min="8" max="8" width="9.28515625" customWidth="1"/>
    <col min="9" max="9" width="9" customWidth="1"/>
    <col min="10" max="10" width="10.5703125" customWidth="1"/>
    <col min="11" max="13" width="0" hidden="1" customWidth="1"/>
    <col min="14" max="16" width="10.5703125" hidden="1" customWidth="1"/>
    <col min="17" max="17" width="31.42578125" bestFit="1" customWidth="1"/>
    <col min="18" max="22" width="10.5703125" customWidth="1"/>
    <col min="257" max="257" width="1.5703125" customWidth="1"/>
    <col min="258" max="258" width="22.28515625" customWidth="1"/>
    <col min="259" max="259" width="6.42578125" customWidth="1"/>
    <col min="260" max="260" width="7.5703125" customWidth="1"/>
    <col min="261" max="261" width="12.42578125" customWidth="1"/>
    <col min="262" max="263" width="10" customWidth="1"/>
    <col min="264" max="264" width="9.28515625" customWidth="1"/>
    <col min="265" max="265" width="9" customWidth="1"/>
    <col min="266" max="266" width="10.5703125" customWidth="1"/>
    <col min="267" max="269" width="0" hidden="1" customWidth="1"/>
    <col min="270" max="278" width="10.5703125" customWidth="1"/>
    <col min="513" max="513" width="1.5703125" customWidth="1"/>
    <col min="514" max="514" width="22.28515625" customWidth="1"/>
    <col min="515" max="515" width="6.42578125" customWidth="1"/>
    <col min="516" max="516" width="7.5703125" customWidth="1"/>
    <col min="517" max="517" width="12.42578125" customWidth="1"/>
    <col min="518" max="519" width="10" customWidth="1"/>
    <col min="520" max="520" width="9.28515625" customWidth="1"/>
    <col min="521" max="521" width="9" customWidth="1"/>
    <col min="522" max="522" width="10.5703125" customWidth="1"/>
    <col min="523" max="525" width="0" hidden="1" customWidth="1"/>
    <col min="526" max="534" width="10.5703125" customWidth="1"/>
    <col min="769" max="769" width="1.5703125" customWidth="1"/>
    <col min="770" max="770" width="22.28515625" customWidth="1"/>
    <col min="771" max="771" width="6.42578125" customWidth="1"/>
    <col min="772" max="772" width="7.5703125" customWidth="1"/>
    <col min="773" max="773" width="12.42578125" customWidth="1"/>
    <col min="774" max="775" width="10" customWidth="1"/>
    <col min="776" max="776" width="9.28515625" customWidth="1"/>
    <col min="777" max="777" width="9" customWidth="1"/>
    <col min="778" max="778" width="10.5703125" customWidth="1"/>
    <col min="779" max="781" width="0" hidden="1" customWidth="1"/>
    <col min="782" max="790" width="10.5703125" customWidth="1"/>
    <col min="1025" max="1025" width="1.5703125" customWidth="1"/>
    <col min="1026" max="1026" width="22.28515625" customWidth="1"/>
    <col min="1027" max="1027" width="6.42578125" customWidth="1"/>
    <col min="1028" max="1028" width="7.5703125" customWidth="1"/>
    <col min="1029" max="1029" width="12.42578125" customWidth="1"/>
    <col min="1030" max="1031" width="10" customWidth="1"/>
    <col min="1032" max="1032" width="9.28515625" customWidth="1"/>
    <col min="1033" max="1033" width="9" customWidth="1"/>
    <col min="1034" max="1034" width="10.5703125" customWidth="1"/>
    <col min="1035" max="1037" width="0" hidden="1" customWidth="1"/>
    <col min="1038" max="1046" width="10.5703125" customWidth="1"/>
    <col min="1281" max="1281" width="1.5703125" customWidth="1"/>
    <col min="1282" max="1282" width="22.28515625" customWidth="1"/>
    <col min="1283" max="1283" width="6.42578125" customWidth="1"/>
    <col min="1284" max="1284" width="7.5703125" customWidth="1"/>
    <col min="1285" max="1285" width="12.42578125" customWidth="1"/>
    <col min="1286" max="1287" width="10" customWidth="1"/>
    <col min="1288" max="1288" width="9.28515625" customWidth="1"/>
    <col min="1289" max="1289" width="9" customWidth="1"/>
    <col min="1290" max="1290" width="10.5703125" customWidth="1"/>
    <col min="1291" max="1293" width="0" hidden="1" customWidth="1"/>
    <col min="1294" max="1302" width="10.5703125" customWidth="1"/>
    <col min="1537" max="1537" width="1.5703125" customWidth="1"/>
    <col min="1538" max="1538" width="22.28515625" customWidth="1"/>
    <col min="1539" max="1539" width="6.42578125" customWidth="1"/>
    <col min="1540" max="1540" width="7.5703125" customWidth="1"/>
    <col min="1541" max="1541" width="12.42578125" customWidth="1"/>
    <col min="1542" max="1543" width="10" customWidth="1"/>
    <col min="1544" max="1544" width="9.28515625" customWidth="1"/>
    <col min="1545" max="1545" width="9" customWidth="1"/>
    <col min="1546" max="1546" width="10.5703125" customWidth="1"/>
    <col min="1547" max="1549" width="0" hidden="1" customWidth="1"/>
    <col min="1550" max="1558" width="10.5703125" customWidth="1"/>
    <col min="1793" max="1793" width="1.5703125" customWidth="1"/>
    <col min="1794" max="1794" width="22.28515625" customWidth="1"/>
    <col min="1795" max="1795" width="6.42578125" customWidth="1"/>
    <col min="1796" max="1796" width="7.5703125" customWidth="1"/>
    <col min="1797" max="1797" width="12.42578125" customWidth="1"/>
    <col min="1798" max="1799" width="10" customWidth="1"/>
    <col min="1800" max="1800" width="9.28515625" customWidth="1"/>
    <col min="1801" max="1801" width="9" customWidth="1"/>
    <col min="1802" max="1802" width="10.5703125" customWidth="1"/>
    <col min="1803" max="1805" width="0" hidden="1" customWidth="1"/>
    <col min="1806" max="1814" width="10.5703125" customWidth="1"/>
    <col min="2049" max="2049" width="1.5703125" customWidth="1"/>
    <col min="2050" max="2050" width="22.28515625" customWidth="1"/>
    <col min="2051" max="2051" width="6.42578125" customWidth="1"/>
    <col min="2052" max="2052" width="7.5703125" customWidth="1"/>
    <col min="2053" max="2053" width="12.42578125" customWidth="1"/>
    <col min="2054" max="2055" width="10" customWidth="1"/>
    <col min="2056" max="2056" width="9.28515625" customWidth="1"/>
    <col min="2057" max="2057" width="9" customWidth="1"/>
    <col min="2058" max="2058" width="10.5703125" customWidth="1"/>
    <col min="2059" max="2061" width="0" hidden="1" customWidth="1"/>
    <col min="2062" max="2070" width="10.5703125" customWidth="1"/>
    <col min="2305" max="2305" width="1.5703125" customWidth="1"/>
    <col min="2306" max="2306" width="22.28515625" customWidth="1"/>
    <col min="2307" max="2307" width="6.42578125" customWidth="1"/>
    <col min="2308" max="2308" width="7.5703125" customWidth="1"/>
    <col min="2309" max="2309" width="12.42578125" customWidth="1"/>
    <col min="2310" max="2311" width="10" customWidth="1"/>
    <col min="2312" max="2312" width="9.28515625" customWidth="1"/>
    <col min="2313" max="2313" width="9" customWidth="1"/>
    <col min="2314" max="2314" width="10.5703125" customWidth="1"/>
    <col min="2315" max="2317" width="0" hidden="1" customWidth="1"/>
    <col min="2318" max="2326" width="10.5703125" customWidth="1"/>
    <col min="2561" max="2561" width="1.5703125" customWidth="1"/>
    <col min="2562" max="2562" width="22.28515625" customWidth="1"/>
    <col min="2563" max="2563" width="6.42578125" customWidth="1"/>
    <col min="2564" max="2564" width="7.5703125" customWidth="1"/>
    <col min="2565" max="2565" width="12.42578125" customWidth="1"/>
    <col min="2566" max="2567" width="10" customWidth="1"/>
    <col min="2568" max="2568" width="9.28515625" customWidth="1"/>
    <col min="2569" max="2569" width="9" customWidth="1"/>
    <col min="2570" max="2570" width="10.5703125" customWidth="1"/>
    <col min="2571" max="2573" width="0" hidden="1" customWidth="1"/>
    <col min="2574" max="2582" width="10.5703125" customWidth="1"/>
    <col min="2817" max="2817" width="1.5703125" customWidth="1"/>
    <col min="2818" max="2818" width="22.28515625" customWidth="1"/>
    <col min="2819" max="2819" width="6.42578125" customWidth="1"/>
    <col min="2820" max="2820" width="7.5703125" customWidth="1"/>
    <col min="2821" max="2821" width="12.42578125" customWidth="1"/>
    <col min="2822" max="2823" width="10" customWidth="1"/>
    <col min="2824" max="2824" width="9.28515625" customWidth="1"/>
    <col min="2825" max="2825" width="9" customWidth="1"/>
    <col min="2826" max="2826" width="10.5703125" customWidth="1"/>
    <col min="2827" max="2829" width="0" hidden="1" customWidth="1"/>
    <col min="2830" max="2838" width="10.5703125" customWidth="1"/>
    <col min="3073" max="3073" width="1.5703125" customWidth="1"/>
    <col min="3074" max="3074" width="22.28515625" customWidth="1"/>
    <col min="3075" max="3075" width="6.42578125" customWidth="1"/>
    <col min="3076" max="3076" width="7.5703125" customWidth="1"/>
    <col min="3077" max="3077" width="12.42578125" customWidth="1"/>
    <col min="3078" max="3079" width="10" customWidth="1"/>
    <col min="3080" max="3080" width="9.28515625" customWidth="1"/>
    <col min="3081" max="3081" width="9" customWidth="1"/>
    <col min="3082" max="3082" width="10.5703125" customWidth="1"/>
    <col min="3083" max="3085" width="0" hidden="1" customWidth="1"/>
    <col min="3086" max="3094" width="10.5703125" customWidth="1"/>
    <col min="3329" max="3329" width="1.5703125" customWidth="1"/>
    <col min="3330" max="3330" width="22.28515625" customWidth="1"/>
    <col min="3331" max="3331" width="6.42578125" customWidth="1"/>
    <col min="3332" max="3332" width="7.5703125" customWidth="1"/>
    <col min="3333" max="3333" width="12.42578125" customWidth="1"/>
    <col min="3334" max="3335" width="10" customWidth="1"/>
    <col min="3336" max="3336" width="9.28515625" customWidth="1"/>
    <col min="3337" max="3337" width="9" customWidth="1"/>
    <col min="3338" max="3338" width="10.5703125" customWidth="1"/>
    <col min="3339" max="3341" width="0" hidden="1" customWidth="1"/>
    <col min="3342" max="3350" width="10.5703125" customWidth="1"/>
    <col min="3585" max="3585" width="1.5703125" customWidth="1"/>
    <col min="3586" max="3586" width="22.28515625" customWidth="1"/>
    <col min="3587" max="3587" width="6.42578125" customWidth="1"/>
    <col min="3588" max="3588" width="7.5703125" customWidth="1"/>
    <col min="3589" max="3589" width="12.42578125" customWidth="1"/>
    <col min="3590" max="3591" width="10" customWidth="1"/>
    <col min="3592" max="3592" width="9.28515625" customWidth="1"/>
    <col min="3593" max="3593" width="9" customWidth="1"/>
    <col min="3594" max="3594" width="10.5703125" customWidth="1"/>
    <col min="3595" max="3597" width="0" hidden="1" customWidth="1"/>
    <col min="3598" max="3606" width="10.5703125" customWidth="1"/>
    <col min="3841" max="3841" width="1.5703125" customWidth="1"/>
    <col min="3842" max="3842" width="22.28515625" customWidth="1"/>
    <col min="3843" max="3843" width="6.42578125" customWidth="1"/>
    <col min="3844" max="3844" width="7.5703125" customWidth="1"/>
    <col min="3845" max="3845" width="12.42578125" customWidth="1"/>
    <col min="3846" max="3847" width="10" customWidth="1"/>
    <col min="3848" max="3848" width="9.28515625" customWidth="1"/>
    <col min="3849" max="3849" width="9" customWidth="1"/>
    <col min="3850" max="3850" width="10.5703125" customWidth="1"/>
    <col min="3851" max="3853" width="0" hidden="1" customWidth="1"/>
    <col min="3854" max="3862" width="10.5703125" customWidth="1"/>
    <col min="4097" max="4097" width="1.5703125" customWidth="1"/>
    <col min="4098" max="4098" width="22.28515625" customWidth="1"/>
    <col min="4099" max="4099" width="6.42578125" customWidth="1"/>
    <col min="4100" max="4100" width="7.5703125" customWidth="1"/>
    <col min="4101" max="4101" width="12.42578125" customWidth="1"/>
    <col min="4102" max="4103" width="10" customWidth="1"/>
    <col min="4104" max="4104" width="9.28515625" customWidth="1"/>
    <col min="4105" max="4105" width="9" customWidth="1"/>
    <col min="4106" max="4106" width="10.5703125" customWidth="1"/>
    <col min="4107" max="4109" width="0" hidden="1" customWidth="1"/>
    <col min="4110" max="4118" width="10.5703125" customWidth="1"/>
    <col min="4353" max="4353" width="1.5703125" customWidth="1"/>
    <col min="4354" max="4354" width="22.28515625" customWidth="1"/>
    <col min="4355" max="4355" width="6.42578125" customWidth="1"/>
    <col min="4356" max="4356" width="7.5703125" customWidth="1"/>
    <col min="4357" max="4357" width="12.42578125" customWidth="1"/>
    <col min="4358" max="4359" width="10" customWidth="1"/>
    <col min="4360" max="4360" width="9.28515625" customWidth="1"/>
    <col min="4361" max="4361" width="9" customWidth="1"/>
    <col min="4362" max="4362" width="10.5703125" customWidth="1"/>
    <col min="4363" max="4365" width="0" hidden="1" customWidth="1"/>
    <col min="4366" max="4374" width="10.5703125" customWidth="1"/>
    <col min="4609" max="4609" width="1.5703125" customWidth="1"/>
    <col min="4610" max="4610" width="22.28515625" customWidth="1"/>
    <col min="4611" max="4611" width="6.42578125" customWidth="1"/>
    <col min="4612" max="4612" width="7.5703125" customWidth="1"/>
    <col min="4613" max="4613" width="12.42578125" customWidth="1"/>
    <col min="4614" max="4615" width="10" customWidth="1"/>
    <col min="4616" max="4616" width="9.28515625" customWidth="1"/>
    <col min="4617" max="4617" width="9" customWidth="1"/>
    <col min="4618" max="4618" width="10.5703125" customWidth="1"/>
    <col min="4619" max="4621" width="0" hidden="1" customWidth="1"/>
    <col min="4622" max="4630" width="10.5703125" customWidth="1"/>
    <col min="4865" max="4865" width="1.5703125" customWidth="1"/>
    <col min="4866" max="4866" width="22.28515625" customWidth="1"/>
    <col min="4867" max="4867" width="6.42578125" customWidth="1"/>
    <col min="4868" max="4868" width="7.5703125" customWidth="1"/>
    <col min="4869" max="4869" width="12.42578125" customWidth="1"/>
    <col min="4870" max="4871" width="10" customWidth="1"/>
    <col min="4872" max="4872" width="9.28515625" customWidth="1"/>
    <col min="4873" max="4873" width="9" customWidth="1"/>
    <col min="4874" max="4874" width="10.5703125" customWidth="1"/>
    <col min="4875" max="4877" width="0" hidden="1" customWidth="1"/>
    <col min="4878" max="4886" width="10.5703125" customWidth="1"/>
    <col min="5121" max="5121" width="1.5703125" customWidth="1"/>
    <col min="5122" max="5122" width="22.28515625" customWidth="1"/>
    <col min="5123" max="5123" width="6.42578125" customWidth="1"/>
    <col min="5124" max="5124" width="7.5703125" customWidth="1"/>
    <col min="5125" max="5125" width="12.42578125" customWidth="1"/>
    <col min="5126" max="5127" width="10" customWidth="1"/>
    <col min="5128" max="5128" width="9.28515625" customWidth="1"/>
    <col min="5129" max="5129" width="9" customWidth="1"/>
    <col min="5130" max="5130" width="10.5703125" customWidth="1"/>
    <col min="5131" max="5133" width="0" hidden="1" customWidth="1"/>
    <col min="5134" max="5142" width="10.5703125" customWidth="1"/>
    <col min="5377" max="5377" width="1.5703125" customWidth="1"/>
    <col min="5378" max="5378" width="22.28515625" customWidth="1"/>
    <col min="5379" max="5379" width="6.42578125" customWidth="1"/>
    <col min="5380" max="5380" width="7.5703125" customWidth="1"/>
    <col min="5381" max="5381" width="12.42578125" customWidth="1"/>
    <col min="5382" max="5383" width="10" customWidth="1"/>
    <col min="5384" max="5384" width="9.28515625" customWidth="1"/>
    <col min="5385" max="5385" width="9" customWidth="1"/>
    <col min="5386" max="5386" width="10.5703125" customWidth="1"/>
    <col min="5387" max="5389" width="0" hidden="1" customWidth="1"/>
    <col min="5390" max="5398" width="10.5703125" customWidth="1"/>
    <col min="5633" max="5633" width="1.5703125" customWidth="1"/>
    <col min="5634" max="5634" width="22.28515625" customWidth="1"/>
    <col min="5635" max="5635" width="6.42578125" customWidth="1"/>
    <col min="5636" max="5636" width="7.5703125" customWidth="1"/>
    <col min="5637" max="5637" width="12.42578125" customWidth="1"/>
    <col min="5638" max="5639" width="10" customWidth="1"/>
    <col min="5640" max="5640" width="9.28515625" customWidth="1"/>
    <col min="5641" max="5641" width="9" customWidth="1"/>
    <col min="5642" max="5642" width="10.5703125" customWidth="1"/>
    <col min="5643" max="5645" width="0" hidden="1" customWidth="1"/>
    <col min="5646" max="5654" width="10.5703125" customWidth="1"/>
    <col min="5889" max="5889" width="1.5703125" customWidth="1"/>
    <col min="5890" max="5890" width="22.28515625" customWidth="1"/>
    <col min="5891" max="5891" width="6.42578125" customWidth="1"/>
    <col min="5892" max="5892" width="7.5703125" customWidth="1"/>
    <col min="5893" max="5893" width="12.42578125" customWidth="1"/>
    <col min="5894" max="5895" width="10" customWidth="1"/>
    <col min="5896" max="5896" width="9.28515625" customWidth="1"/>
    <col min="5897" max="5897" width="9" customWidth="1"/>
    <col min="5898" max="5898" width="10.5703125" customWidth="1"/>
    <col min="5899" max="5901" width="0" hidden="1" customWidth="1"/>
    <col min="5902" max="5910" width="10.5703125" customWidth="1"/>
    <col min="6145" max="6145" width="1.5703125" customWidth="1"/>
    <col min="6146" max="6146" width="22.28515625" customWidth="1"/>
    <col min="6147" max="6147" width="6.42578125" customWidth="1"/>
    <col min="6148" max="6148" width="7.5703125" customWidth="1"/>
    <col min="6149" max="6149" width="12.42578125" customWidth="1"/>
    <col min="6150" max="6151" width="10" customWidth="1"/>
    <col min="6152" max="6152" width="9.28515625" customWidth="1"/>
    <col min="6153" max="6153" width="9" customWidth="1"/>
    <col min="6154" max="6154" width="10.5703125" customWidth="1"/>
    <col min="6155" max="6157" width="0" hidden="1" customWidth="1"/>
    <col min="6158" max="6166" width="10.5703125" customWidth="1"/>
    <col min="6401" max="6401" width="1.5703125" customWidth="1"/>
    <col min="6402" max="6402" width="22.28515625" customWidth="1"/>
    <col min="6403" max="6403" width="6.42578125" customWidth="1"/>
    <col min="6404" max="6404" width="7.5703125" customWidth="1"/>
    <col min="6405" max="6405" width="12.42578125" customWidth="1"/>
    <col min="6406" max="6407" width="10" customWidth="1"/>
    <col min="6408" max="6408" width="9.28515625" customWidth="1"/>
    <col min="6409" max="6409" width="9" customWidth="1"/>
    <col min="6410" max="6410" width="10.5703125" customWidth="1"/>
    <col min="6411" max="6413" width="0" hidden="1" customWidth="1"/>
    <col min="6414" max="6422" width="10.5703125" customWidth="1"/>
    <col min="6657" max="6657" width="1.5703125" customWidth="1"/>
    <col min="6658" max="6658" width="22.28515625" customWidth="1"/>
    <col min="6659" max="6659" width="6.42578125" customWidth="1"/>
    <col min="6660" max="6660" width="7.5703125" customWidth="1"/>
    <col min="6661" max="6661" width="12.42578125" customWidth="1"/>
    <col min="6662" max="6663" width="10" customWidth="1"/>
    <col min="6664" max="6664" width="9.28515625" customWidth="1"/>
    <col min="6665" max="6665" width="9" customWidth="1"/>
    <col min="6666" max="6666" width="10.5703125" customWidth="1"/>
    <col min="6667" max="6669" width="0" hidden="1" customWidth="1"/>
    <col min="6670" max="6678" width="10.5703125" customWidth="1"/>
    <col min="6913" max="6913" width="1.5703125" customWidth="1"/>
    <col min="6914" max="6914" width="22.28515625" customWidth="1"/>
    <col min="6915" max="6915" width="6.42578125" customWidth="1"/>
    <col min="6916" max="6916" width="7.5703125" customWidth="1"/>
    <col min="6917" max="6917" width="12.42578125" customWidth="1"/>
    <col min="6918" max="6919" width="10" customWidth="1"/>
    <col min="6920" max="6920" width="9.28515625" customWidth="1"/>
    <col min="6921" max="6921" width="9" customWidth="1"/>
    <col min="6922" max="6922" width="10.5703125" customWidth="1"/>
    <col min="6923" max="6925" width="0" hidden="1" customWidth="1"/>
    <col min="6926" max="6934" width="10.5703125" customWidth="1"/>
    <col min="7169" max="7169" width="1.5703125" customWidth="1"/>
    <col min="7170" max="7170" width="22.28515625" customWidth="1"/>
    <col min="7171" max="7171" width="6.42578125" customWidth="1"/>
    <col min="7172" max="7172" width="7.5703125" customWidth="1"/>
    <col min="7173" max="7173" width="12.42578125" customWidth="1"/>
    <col min="7174" max="7175" width="10" customWidth="1"/>
    <col min="7176" max="7176" width="9.28515625" customWidth="1"/>
    <col min="7177" max="7177" width="9" customWidth="1"/>
    <col min="7178" max="7178" width="10.5703125" customWidth="1"/>
    <col min="7179" max="7181" width="0" hidden="1" customWidth="1"/>
    <col min="7182" max="7190" width="10.5703125" customWidth="1"/>
    <col min="7425" max="7425" width="1.5703125" customWidth="1"/>
    <col min="7426" max="7426" width="22.28515625" customWidth="1"/>
    <col min="7427" max="7427" width="6.42578125" customWidth="1"/>
    <col min="7428" max="7428" width="7.5703125" customWidth="1"/>
    <col min="7429" max="7429" width="12.42578125" customWidth="1"/>
    <col min="7430" max="7431" width="10" customWidth="1"/>
    <col min="7432" max="7432" width="9.28515625" customWidth="1"/>
    <col min="7433" max="7433" width="9" customWidth="1"/>
    <col min="7434" max="7434" width="10.5703125" customWidth="1"/>
    <col min="7435" max="7437" width="0" hidden="1" customWidth="1"/>
    <col min="7438" max="7446" width="10.5703125" customWidth="1"/>
    <col min="7681" max="7681" width="1.5703125" customWidth="1"/>
    <col min="7682" max="7682" width="22.28515625" customWidth="1"/>
    <col min="7683" max="7683" width="6.42578125" customWidth="1"/>
    <col min="7684" max="7684" width="7.5703125" customWidth="1"/>
    <col min="7685" max="7685" width="12.42578125" customWidth="1"/>
    <col min="7686" max="7687" width="10" customWidth="1"/>
    <col min="7688" max="7688" width="9.28515625" customWidth="1"/>
    <col min="7689" max="7689" width="9" customWidth="1"/>
    <col min="7690" max="7690" width="10.5703125" customWidth="1"/>
    <col min="7691" max="7693" width="0" hidden="1" customWidth="1"/>
    <col min="7694" max="7702" width="10.5703125" customWidth="1"/>
    <col min="7937" max="7937" width="1.5703125" customWidth="1"/>
    <col min="7938" max="7938" width="22.28515625" customWidth="1"/>
    <col min="7939" max="7939" width="6.42578125" customWidth="1"/>
    <col min="7940" max="7940" width="7.5703125" customWidth="1"/>
    <col min="7941" max="7941" width="12.42578125" customWidth="1"/>
    <col min="7942" max="7943" width="10" customWidth="1"/>
    <col min="7944" max="7944" width="9.28515625" customWidth="1"/>
    <col min="7945" max="7945" width="9" customWidth="1"/>
    <col min="7946" max="7946" width="10.5703125" customWidth="1"/>
    <col min="7947" max="7949" width="0" hidden="1" customWidth="1"/>
    <col min="7950" max="7958" width="10.5703125" customWidth="1"/>
    <col min="8193" max="8193" width="1.5703125" customWidth="1"/>
    <col min="8194" max="8194" width="22.28515625" customWidth="1"/>
    <col min="8195" max="8195" width="6.42578125" customWidth="1"/>
    <col min="8196" max="8196" width="7.5703125" customWidth="1"/>
    <col min="8197" max="8197" width="12.42578125" customWidth="1"/>
    <col min="8198" max="8199" width="10" customWidth="1"/>
    <col min="8200" max="8200" width="9.28515625" customWidth="1"/>
    <col min="8201" max="8201" width="9" customWidth="1"/>
    <col min="8202" max="8202" width="10.5703125" customWidth="1"/>
    <col min="8203" max="8205" width="0" hidden="1" customWidth="1"/>
    <col min="8206" max="8214" width="10.5703125" customWidth="1"/>
    <col min="8449" max="8449" width="1.5703125" customWidth="1"/>
    <col min="8450" max="8450" width="22.28515625" customWidth="1"/>
    <col min="8451" max="8451" width="6.42578125" customWidth="1"/>
    <col min="8452" max="8452" width="7.5703125" customWidth="1"/>
    <col min="8453" max="8453" width="12.42578125" customWidth="1"/>
    <col min="8454" max="8455" width="10" customWidth="1"/>
    <col min="8456" max="8456" width="9.28515625" customWidth="1"/>
    <col min="8457" max="8457" width="9" customWidth="1"/>
    <col min="8458" max="8458" width="10.5703125" customWidth="1"/>
    <col min="8459" max="8461" width="0" hidden="1" customWidth="1"/>
    <col min="8462" max="8470" width="10.5703125" customWidth="1"/>
    <col min="8705" max="8705" width="1.5703125" customWidth="1"/>
    <col min="8706" max="8706" width="22.28515625" customWidth="1"/>
    <col min="8707" max="8707" width="6.42578125" customWidth="1"/>
    <col min="8708" max="8708" width="7.5703125" customWidth="1"/>
    <col min="8709" max="8709" width="12.42578125" customWidth="1"/>
    <col min="8710" max="8711" width="10" customWidth="1"/>
    <col min="8712" max="8712" width="9.28515625" customWidth="1"/>
    <col min="8713" max="8713" width="9" customWidth="1"/>
    <col min="8714" max="8714" width="10.5703125" customWidth="1"/>
    <col min="8715" max="8717" width="0" hidden="1" customWidth="1"/>
    <col min="8718" max="8726" width="10.5703125" customWidth="1"/>
    <col min="8961" max="8961" width="1.5703125" customWidth="1"/>
    <col min="8962" max="8962" width="22.28515625" customWidth="1"/>
    <col min="8963" max="8963" width="6.42578125" customWidth="1"/>
    <col min="8964" max="8964" width="7.5703125" customWidth="1"/>
    <col min="8965" max="8965" width="12.42578125" customWidth="1"/>
    <col min="8966" max="8967" width="10" customWidth="1"/>
    <col min="8968" max="8968" width="9.28515625" customWidth="1"/>
    <col min="8969" max="8969" width="9" customWidth="1"/>
    <col min="8970" max="8970" width="10.5703125" customWidth="1"/>
    <col min="8971" max="8973" width="0" hidden="1" customWidth="1"/>
    <col min="8974" max="8982" width="10.5703125" customWidth="1"/>
    <col min="9217" max="9217" width="1.5703125" customWidth="1"/>
    <col min="9218" max="9218" width="22.28515625" customWidth="1"/>
    <col min="9219" max="9219" width="6.42578125" customWidth="1"/>
    <col min="9220" max="9220" width="7.5703125" customWidth="1"/>
    <col min="9221" max="9221" width="12.42578125" customWidth="1"/>
    <col min="9222" max="9223" width="10" customWidth="1"/>
    <col min="9224" max="9224" width="9.28515625" customWidth="1"/>
    <col min="9225" max="9225" width="9" customWidth="1"/>
    <col min="9226" max="9226" width="10.5703125" customWidth="1"/>
    <col min="9227" max="9229" width="0" hidden="1" customWidth="1"/>
    <col min="9230" max="9238" width="10.5703125" customWidth="1"/>
    <col min="9473" max="9473" width="1.5703125" customWidth="1"/>
    <col min="9474" max="9474" width="22.28515625" customWidth="1"/>
    <col min="9475" max="9475" width="6.42578125" customWidth="1"/>
    <col min="9476" max="9476" width="7.5703125" customWidth="1"/>
    <col min="9477" max="9477" width="12.42578125" customWidth="1"/>
    <col min="9478" max="9479" width="10" customWidth="1"/>
    <col min="9480" max="9480" width="9.28515625" customWidth="1"/>
    <col min="9481" max="9481" width="9" customWidth="1"/>
    <col min="9482" max="9482" width="10.5703125" customWidth="1"/>
    <col min="9483" max="9485" width="0" hidden="1" customWidth="1"/>
    <col min="9486" max="9494" width="10.5703125" customWidth="1"/>
    <col min="9729" max="9729" width="1.5703125" customWidth="1"/>
    <col min="9730" max="9730" width="22.28515625" customWidth="1"/>
    <col min="9731" max="9731" width="6.42578125" customWidth="1"/>
    <col min="9732" max="9732" width="7.5703125" customWidth="1"/>
    <col min="9733" max="9733" width="12.42578125" customWidth="1"/>
    <col min="9734" max="9735" width="10" customWidth="1"/>
    <col min="9736" max="9736" width="9.28515625" customWidth="1"/>
    <col min="9737" max="9737" width="9" customWidth="1"/>
    <col min="9738" max="9738" width="10.5703125" customWidth="1"/>
    <col min="9739" max="9741" width="0" hidden="1" customWidth="1"/>
    <col min="9742" max="9750" width="10.5703125" customWidth="1"/>
    <col min="9985" max="9985" width="1.5703125" customWidth="1"/>
    <col min="9986" max="9986" width="22.28515625" customWidth="1"/>
    <col min="9987" max="9987" width="6.42578125" customWidth="1"/>
    <col min="9988" max="9988" width="7.5703125" customWidth="1"/>
    <col min="9989" max="9989" width="12.42578125" customWidth="1"/>
    <col min="9990" max="9991" width="10" customWidth="1"/>
    <col min="9992" max="9992" width="9.28515625" customWidth="1"/>
    <col min="9993" max="9993" width="9" customWidth="1"/>
    <col min="9994" max="9994" width="10.5703125" customWidth="1"/>
    <col min="9995" max="9997" width="0" hidden="1" customWidth="1"/>
    <col min="9998" max="10006" width="10.5703125" customWidth="1"/>
    <col min="10241" max="10241" width="1.5703125" customWidth="1"/>
    <col min="10242" max="10242" width="22.28515625" customWidth="1"/>
    <col min="10243" max="10243" width="6.42578125" customWidth="1"/>
    <col min="10244" max="10244" width="7.5703125" customWidth="1"/>
    <col min="10245" max="10245" width="12.42578125" customWidth="1"/>
    <col min="10246" max="10247" width="10" customWidth="1"/>
    <col min="10248" max="10248" width="9.28515625" customWidth="1"/>
    <col min="10249" max="10249" width="9" customWidth="1"/>
    <col min="10250" max="10250" width="10.5703125" customWidth="1"/>
    <col min="10251" max="10253" width="0" hidden="1" customWidth="1"/>
    <col min="10254" max="10262" width="10.5703125" customWidth="1"/>
    <col min="10497" max="10497" width="1.5703125" customWidth="1"/>
    <col min="10498" max="10498" width="22.28515625" customWidth="1"/>
    <col min="10499" max="10499" width="6.42578125" customWidth="1"/>
    <col min="10500" max="10500" width="7.5703125" customWidth="1"/>
    <col min="10501" max="10501" width="12.42578125" customWidth="1"/>
    <col min="10502" max="10503" width="10" customWidth="1"/>
    <col min="10504" max="10504" width="9.28515625" customWidth="1"/>
    <col min="10505" max="10505" width="9" customWidth="1"/>
    <col min="10506" max="10506" width="10.5703125" customWidth="1"/>
    <col min="10507" max="10509" width="0" hidden="1" customWidth="1"/>
    <col min="10510" max="10518" width="10.5703125" customWidth="1"/>
    <col min="10753" max="10753" width="1.5703125" customWidth="1"/>
    <col min="10754" max="10754" width="22.28515625" customWidth="1"/>
    <col min="10755" max="10755" width="6.42578125" customWidth="1"/>
    <col min="10756" max="10756" width="7.5703125" customWidth="1"/>
    <col min="10757" max="10757" width="12.42578125" customWidth="1"/>
    <col min="10758" max="10759" width="10" customWidth="1"/>
    <col min="10760" max="10760" width="9.28515625" customWidth="1"/>
    <col min="10761" max="10761" width="9" customWidth="1"/>
    <col min="10762" max="10762" width="10.5703125" customWidth="1"/>
    <col min="10763" max="10765" width="0" hidden="1" customWidth="1"/>
    <col min="10766" max="10774" width="10.5703125" customWidth="1"/>
    <col min="11009" max="11009" width="1.5703125" customWidth="1"/>
    <col min="11010" max="11010" width="22.28515625" customWidth="1"/>
    <col min="11011" max="11011" width="6.42578125" customWidth="1"/>
    <col min="11012" max="11012" width="7.5703125" customWidth="1"/>
    <col min="11013" max="11013" width="12.42578125" customWidth="1"/>
    <col min="11014" max="11015" width="10" customWidth="1"/>
    <col min="11016" max="11016" width="9.28515625" customWidth="1"/>
    <col min="11017" max="11017" width="9" customWidth="1"/>
    <col min="11018" max="11018" width="10.5703125" customWidth="1"/>
    <col min="11019" max="11021" width="0" hidden="1" customWidth="1"/>
    <col min="11022" max="11030" width="10.5703125" customWidth="1"/>
    <col min="11265" max="11265" width="1.5703125" customWidth="1"/>
    <col min="11266" max="11266" width="22.28515625" customWidth="1"/>
    <col min="11267" max="11267" width="6.42578125" customWidth="1"/>
    <col min="11268" max="11268" width="7.5703125" customWidth="1"/>
    <col min="11269" max="11269" width="12.42578125" customWidth="1"/>
    <col min="11270" max="11271" width="10" customWidth="1"/>
    <col min="11272" max="11272" width="9.28515625" customWidth="1"/>
    <col min="11273" max="11273" width="9" customWidth="1"/>
    <col min="11274" max="11274" width="10.5703125" customWidth="1"/>
    <col min="11275" max="11277" width="0" hidden="1" customWidth="1"/>
    <col min="11278" max="11286" width="10.5703125" customWidth="1"/>
    <col min="11521" max="11521" width="1.5703125" customWidth="1"/>
    <col min="11522" max="11522" width="22.28515625" customWidth="1"/>
    <col min="11523" max="11523" width="6.42578125" customWidth="1"/>
    <col min="11524" max="11524" width="7.5703125" customWidth="1"/>
    <col min="11525" max="11525" width="12.42578125" customWidth="1"/>
    <col min="11526" max="11527" width="10" customWidth="1"/>
    <col min="11528" max="11528" width="9.28515625" customWidth="1"/>
    <col min="11529" max="11529" width="9" customWidth="1"/>
    <col min="11530" max="11530" width="10.5703125" customWidth="1"/>
    <col min="11531" max="11533" width="0" hidden="1" customWidth="1"/>
    <col min="11534" max="11542" width="10.5703125" customWidth="1"/>
    <col min="11777" max="11777" width="1.5703125" customWidth="1"/>
    <col min="11778" max="11778" width="22.28515625" customWidth="1"/>
    <col min="11779" max="11779" width="6.42578125" customWidth="1"/>
    <col min="11780" max="11780" width="7.5703125" customWidth="1"/>
    <col min="11781" max="11781" width="12.42578125" customWidth="1"/>
    <col min="11782" max="11783" width="10" customWidth="1"/>
    <col min="11784" max="11784" width="9.28515625" customWidth="1"/>
    <col min="11785" max="11785" width="9" customWidth="1"/>
    <col min="11786" max="11786" width="10.5703125" customWidth="1"/>
    <col min="11787" max="11789" width="0" hidden="1" customWidth="1"/>
    <col min="11790" max="11798" width="10.5703125" customWidth="1"/>
    <col min="12033" max="12033" width="1.5703125" customWidth="1"/>
    <col min="12034" max="12034" width="22.28515625" customWidth="1"/>
    <col min="12035" max="12035" width="6.42578125" customWidth="1"/>
    <col min="12036" max="12036" width="7.5703125" customWidth="1"/>
    <col min="12037" max="12037" width="12.42578125" customWidth="1"/>
    <col min="12038" max="12039" width="10" customWidth="1"/>
    <col min="12040" max="12040" width="9.28515625" customWidth="1"/>
    <col min="12041" max="12041" width="9" customWidth="1"/>
    <col min="12042" max="12042" width="10.5703125" customWidth="1"/>
    <col min="12043" max="12045" width="0" hidden="1" customWidth="1"/>
    <col min="12046" max="12054" width="10.5703125" customWidth="1"/>
    <col min="12289" max="12289" width="1.5703125" customWidth="1"/>
    <col min="12290" max="12290" width="22.28515625" customWidth="1"/>
    <col min="12291" max="12291" width="6.42578125" customWidth="1"/>
    <col min="12292" max="12292" width="7.5703125" customWidth="1"/>
    <col min="12293" max="12293" width="12.42578125" customWidth="1"/>
    <col min="12294" max="12295" width="10" customWidth="1"/>
    <col min="12296" max="12296" width="9.28515625" customWidth="1"/>
    <col min="12297" max="12297" width="9" customWidth="1"/>
    <col min="12298" max="12298" width="10.5703125" customWidth="1"/>
    <col min="12299" max="12301" width="0" hidden="1" customWidth="1"/>
    <col min="12302" max="12310" width="10.5703125" customWidth="1"/>
    <col min="12545" max="12545" width="1.5703125" customWidth="1"/>
    <col min="12546" max="12546" width="22.28515625" customWidth="1"/>
    <col min="12547" max="12547" width="6.42578125" customWidth="1"/>
    <col min="12548" max="12548" width="7.5703125" customWidth="1"/>
    <col min="12549" max="12549" width="12.42578125" customWidth="1"/>
    <col min="12550" max="12551" width="10" customWidth="1"/>
    <col min="12552" max="12552" width="9.28515625" customWidth="1"/>
    <col min="12553" max="12553" width="9" customWidth="1"/>
    <col min="12554" max="12554" width="10.5703125" customWidth="1"/>
    <col min="12555" max="12557" width="0" hidden="1" customWidth="1"/>
    <col min="12558" max="12566" width="10.5703125" customWidth="1"/>
    <col min="12801" max="12801" width="1.5703125" customWidth="1"/>
    <col min="12802" max="12802" width="22.28515625" customWidth="1"/>
    <col min="12803" max="12803" width="6.42578125" customWidth="1"/>
    <col min="12804" max="12804" width="7.5703125" customWidth="1"/>
    <col min="12805" max="12805" width="12.42578125" customWidth="1"/>
    <col min="12806" max="12807" width="10" customWidth="1"/>
    <col min="12808" max="12808" width="9.28515625" customWidth="1"/>
    <col min="12809" max="12809" width="9" customWidth="1"/>
    <col min="12810" max="12810" width="10.5703125" customWidth="1"/>
    <col min="12811" max="12813" width="0" hidden="1" customWidth="1"/>
    <col min="12814" max="12822" width="10.5703125" customWidth="1"/>
    <col min="13057" max="13057" width="1.5703125" customWidth="1"/>
    <col min="13058" max="13058" width="22.28515625" customWidth="1"/>
    <col min="13059" max="13059" width="6.42578125" customWidth="1"/>
    <col min="13060" max="13060" width="7.5703125" customWidth="1"/>
    <col min="13061" max="13061" width="12.42578125" customWidth="1"/>
    <col min="13062" max="13063" width="10" customWidth="1"/>
    <col min="13064" max="13064" width="9.28515625" customWidth="1"/>
    <col min="13065" max="13065" width="9" customWidth="1"/>
    <col min="13066" max="13066" width="10.5703125" customWidth="1"/>
    <col min="13067" max="13069" width="0" hidden="1" customWidth="1"/>
    <col min="13070" max="13078" width="10.5703125" customWidth="1"/>
    <col min="13313" max="13313" width="1.5703125" customWidth="1"/>
    <col min="13314" max="13314" width="22.28515625" customWidth="1"/>
    <col min="13315" max="13315" width="6.42578125" customWidth="1"/>
    <col min="13316" max="13316" width="7.5703125" customWidth="1"/>
    <col min="13317" max="13317" width="12.42578125" customWidth="1"/>
    <col min="13318" max="13319" width="10" customWidth="1"/>
    <col min="13320" max="13320" width="9.28515625" customWidth="1"/>
    <col min="13321" max="13321" width="9" customWidth="1"/>
    <col min="13322" max="13322" width="10.5703125" customWidth="1"/>
    <col min="13323" max="13325" width="0" hidden="1" customWidth="1"/>
    <col min="13326" max="13334" width="10.5703125" customWidth="1"/>
    <col min="13569" max="13569" width="1.5703125" customWidth="1"/>
    <col min="13570" max="13570" width="22.28515625" customWidth="1"/>
    <col min="13571" max="13571" width="6.42578125" customWidth="1"/>
    <col min="13572" max="13572" width="7.5703125" customWidth="1"/>
    <col min="13573" max="13573" width="12.42578125" customWidth="1"/>
    <col min="13574" max="13575" width="10" customWidth="1"/>
    <col min="13576" max="13576" width="9.28515625" customWidth="1"/>
    <col min="13577" max="13577" width="9" customWidth="1"/>
    <col min="13578" max="13578" width="10.5703125" customWidth="1"/>
    <col min="13579" max="13581" width="0" hidden="1" customWidth="1"/>
    <col min="13582" max="13590" width="10.5703125" customWidth="1"/>
    <col min="13825" max="13825" width="1.5703125" customWidth="1"/>
    <col min="13826" max="13826" width="22.28515625" customWidth="1"/>
    <col min="13827" max="13827" width="6.42578125" customWidth="1"/>
    <col min="13828" max="13828" width="7.5703125" customWidth="1"/>
    <col min="13829" max="13829" width="12.42578125" customWidth="1"/>
    <col min="13830" max="13831" width="10" customWidth="1"/>
    <col min="13832" max="13832" width="9.28515625" customWidth="1"/>
    <col min="13833" max="13833" width="9" customWidth="1"/>
    <col min="13834" max="13834" width="10.5703125" customWidth="1"/>
    <col min="13835" max="13837" width="0" hidden="1" customWidth="1"/>
    <col min="13838" max="13846" width="10.5703125" customWidth="1"/>
    <col min="14081" max="14081" width="1.5703125" customWidth="1"/>
    <col min="14082" max="14082" width="22.28515625" customWidth="1"/>
    <col min="14083" max="14083" width="6.42578125" customWidth="1"/>
    <col min="14084" max="14084" width="7.5703125" customWidth="1"/>
    <col min="14085" max="14085" width="12.42578125" customWidth="1"/>
    <col min="14086" max="14087" width="10" customWidth="1"/>
    <col min="14088" max="14088" width="9.28515625" customWidth="1"/>
    <col min="14089" max="14089" width="9" customWidth="1"/>
    <col min="14090" max="14090" width="10.5703125" customWidth="1"/>
    <col min="14091" max="14093" width="0" hidden="1" customWidth="1"/>
    <col min="14094" max="14102" width="10.5703125" customWidth="1"/>
    <col min="14337" max="14337" width="1.5703125" customWidth="1"/>
    <col min="14338" max="14338" width="22.28515625" customWidth="1"/>
    <col min="14339" max="14339" width="6.42578125" customWidth="1"/>
    <col min="14340" max="14340" width="7.5703125" customWidth="1"/>
    <col min="14341" max="14341" width="12.42578125" customWidth="1"/>
    <col min="14342" max="14343" width="10" customWidth="1"/>
    <col min="14344" max="14344" width="9.28515625" customWidth="1"/>
    <col min="14345" max="14345" width="9" customWidth="1"/>
    <col min="14346" max="14346" width="10.5703125" customWidth="1"/>
    <col min="14347" max="14349" width="0" hidden="1" customWidth="1"/>
    <col min="14350" max="14358" width="10.5703125" customWidth="1"/>
    <col min="14593" max="14593" width="1.5703125" customWidth="1"/>
    <col min="14594" max="14594" width="22.28515625" customWidth="1"/>
    <col min="14595" max="14595" width="6.42578125" customWidth="1"/>
    <col min="14596" max="14596" width="7.5703125" customWidth="1"/>
    <col min="14597" max="14597" width="12.42578125" customWidth="1"/>
    <col min="14598" max="14599" width="10" customWidth="1"/>
    <col min="14600" max="14600" width="9.28515625" customWidth="1"/>
    <col min="14601" max="14601" width="9" customWidth="1"/>
    <col min="14602" max="14602" width="10.5703125" customWidth="1"/>
    <col min="14603" max="14605" width="0" hidden="1" customWidth="1"/>
    <col min="14606" max="14614" width="10.5703125" customWidth="1"/>
    <col min="14849" max="14849" width="1.5703125" customWidth="1"/>
    <col min="14850" max="14850" width="22.28515625" customWidth="1"/>
    <col min="14851" max="14851" width="6.42578125" customWidth="1"/>
    <col min="14852" max="14852" width="7.5703125" customWidth="1"/>
    <col min="14853" max="14853" width="12.42578125" customWidth="1"/>
    <col min="14854" max="14855" width="10" customWidth="1"/>
    <col min="14856" max="14856" width="9.28515625" customWidth="1"/>
    <col min="14857" max="14857" width="9" customWidth="1"/>
    <col min="14858" max="14858" width="10.5703125" customWidth="1"/>
    <col min="14859" max="14861" width="0" hidden="1" customWidth="1"/>
    <col min="14862" max="14870" width="10.5703125" customWidth="1"/>
    <col min="15105" max="15105" width="1.5703125" customWidth="1"/>
    <col min="15106" max="15106" width="22.28515625" customWidth="1"/>
    <col min="15107" max="15107" width="6.42578125" customWidth="1"/>
    <col min="15108" max="15108" width="7.5703125" customWidth="1"/>
    <col min="15109" max="15109" width="12.42578125" customWidth="1"/>
    <col min="15110" max="15111" width="10" customWidth="1"/>
    <col min="15112" max="15112" width="9.28515625" customWidth="1"/>
    <col min="15113" max="15113" width="9" customWidth="1"/>
    <col min="15114" max="15114" width="10.5703125" customWidth="1"/>
    <col min="15115" max="15117" width="0" hidden="1" customWidth="1"/>
    <col min="15118" max="15126" width="10.5703125" customWidth="1"/>
    <col min="15361" max="15361" width="1.5703125" customWidth="1"/>
    <col min="15362" max="15362" width="22.28515625" customWidth="1"/>
    <col min="15363" max="15363" width="6.42578125" customWidth="1"/>
    <col min="15364" max="15364" width="7.5703125" customWidth="1"/>
    <col min="15365" max="15365" width="12.42578125" customWidth="1"/>
    <col min="15366" max="15367" width="10" customWidth="1"/>
    <col min="15368" max="15368" width="9.28515625" customWidth="1"/>
    <col min="15369" max="15369" width="9" customWidth="1"/>
    <col min="15370" max="15370" width="10.5703125" customWidth="1"/>
    <col min="15371" max="15373" width="0" hidden="1" customWidth="1"/>
    <col min="15374" max="15382" width="10.5703125" customWidth="1"/>
    <col min="15617" max="15617" width="1.5703125" customWidth="1"/>
    <col min="15618" max="15618" width="22.28515625" customWidth="1"/>
    <col min="15619" max="15619" width="6.42578125" customWidth="1"/>
    <col min="15620" max="15620" width="7.5703125" customWidth="1"/>
    <col min="15621" max="15621" width="12.42578125" customWidth="1"/>
    <col min="15622" max="15623" width="10" customWidth="1"/>
    <col min="15624" max="15624" width="9.28515625" customWidth="1"/>
    <col min="15625" max="15625" width="9" customWidth="1"/>
    <col min="15626" max="15626" width="10.5703125" customWidth="1"/>
    <col min="15627" max="15629" width="0" hidden="1" customWidth="1"/>
    <col min="15630" max="15638" width="10.5703125" customWidth="1"/>
    <col min="15873" max="15873" width="1.5703125" customWidth="1"/>
    <col min="15874" max="15874" width="22.28515625" customWidth="1"/>
    <col min="15875" max="15875" width="6.42578125" customWidth="1"/>
    <col min="15876" max="15876" width="7.5703125" customWidth="1"/>
    <col min="15877" max="15877" width="12.42578125" customWidth="1"/>
    <col min="15878" max="15879" width="10" customWidth="1"/>
    <col min="15880" max="15880" width="9.28515625" customWidth="1"/>
    <col min="15881" max="15881" width="9" customWidth="1"/>
    <col min="15882" max="15882" width="10.5703125" customWidth="1"/>
    <col min="15883" max="15885" width="0" hidden="1" customWidth="1"/>
    <col min="15886" max="15894" width="10.5703125" customWidth="1"/>
    <col min="16129" max="16129" width="1.5703125" customWidth="1"/>
    <col min="16130" max="16130" width="22.28515625" customWidth="1"/>
    <col min="16131" max="16131" width="6.42578125" customWidth="1"/>
    <col min="16132" max="16132" width="7.5703125" customWidth="1"/>
    <col min="16133" max="16133" width="12.42578125" customWidth="1"/>
    <col min="16134" max="16135" width="10" customWidth="1"/>
    <col min="16136" max="16136" width="9.28515625" customWidth="1"/>
    <col min="16137" max="16137" width="9" customWidth="1"/>
    <col min="16138" max="16138" width="10.5703125" customWidth="1"/>
    <col min="16139" max="16141" width="0" hidden="1" customWidth="1"/>
    <col min="16142" max="16150" width="10.5703125" customWidth="1"/>
  </cols>
  <sheetData>
    <row r="1" spans="1:19" ht="27" customHeight="1" x14ac:dyDescent="0.25"/>
    <row r="2" spans="1:19" ht="27" customHeight="1" x14ac:dyDescent="0.25"/>
    <row r="3" spans="1:19" ht="27" customHeight="1" x14ac:dyDescent="0.25">
      <c r="Q3" s="298" t="e">
        <f>IF(C23=Q5,"OK","Error")</f>
        <v>#REF!</v>
      </c>
      <c r="R3" s="298"/>
      <c r="S3" s="298"/>
    </row>
    <row r="4" spans="1:19" ht="27" customHeight="1" thickBot="1" x14ac:dyDescent="0.4">
      <c r="B4" s="390" t="s">
        <v>67</v>
      </c>
      <c r="C4" s="390"/>
      <c r="D4" s="390"/>
      <c r="E4" s="390"/>
      <c r="F4" s="390"/>
      <c r="G4" s="390"/>
      <c r="H4" s="390"/>
      <c r="I4" s="390"/>
      <c r="J4" s="390"/>
      <c r="Q4" s="299"/>
      <c r="R4" s="299"/>
      <c r="S4" s="299"/>
    </row>
    <row r="5" spans="1:19" ht="20.25" x14ac:dyDescent="0.3">
      <c r="G5" s="81" t="s">
        <v>68</v>
      </c>
      <c r="Q5" s="300" t="e">
        <f>J22/F22</f>
        <v>#REF!</v>
      </c>
      <c r="R5" s="301"/>
      <c r="S5" s="302"/>
    </row>
    <row r="6" spans="1:19" ht="27" customHeight="1" x14ac:dyDescent="0.3">
      <c r="B6" s="391" t="s">
        <v>69</v>
      </c>
      <c r="C6" s="391"/>
      <c r="D6" s="391"/>
      <c r="E6" s="391"/>
      <c r="F6" s="391"/>
      <c r="G6" s="391"/>
      <c r="H6" s="391"/>
      <c r="I6" s="391"/>
      <c r="J6" s="391"/>
      <c r="K6" s="82"/>
      <c r="Q6" s="303"/>
      <c r="R6" s="304"/>
      <c r="S6" s="305"/>
    </row>
    <row r="7" spans="1:19" ht="27" customHeight="1" thickBot="1" x14ac:dyDescent="0.35">
      <c r="B7" s="391" t="s">
        <v>88</v>
      </c>
      <c r="C7" s="391"/>
      <c r="D7" s="391"/>
      <c r="E7" s="391"/>
      <c r="F7" s="391"/>
      <c r="G7" s="391"/>
      <c r="H7" s="391"/>
      <c r="I7" s="391"/>
      <c r="J7" s="391"/>
      <c r="K7" s="82"/>
      <c r="Q7" s="303"/>
      <c r="R7" s="304"/>
      <c r="S7" s="305"/>
    </row>
    <row r="8" spans="1:19" ht="27" hidden="1" customHeight="1" thickBot="1" x14ac:dyDescent="0.35">
      <c r="B8" s="391" t="e">
        <f>#REF!</f>
        <v>#REF!</v>
      </c>
      <c r="C8" s="391"/>
      <c r="D8" s="391"/>
      <c r="E8" s="391"/>
      <c r="F8" s="391"/>
      <c r="G8" s="391"/>
      <c r="H8" s="391"/>
      <c r="I8" s="391"/>
      <c r="J8" s="391"/>
      <c r="K8" s="82"/>
      <c r="Q8" s="303"/>
      <c r="R8" s="304"/>
      <c r="S8" s="305"/>
    </row>
    <row r="9" spans="1:19" ht="23.25" hidden="1" thickBot="1" x14ac:dyDescent="0.35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Q9" s="303"/>
      <c r="R9" s="304"/>
      <c r="S9" s="305"/>
    </row>
    <row r="10" spans="1:19" ht="42" customHeight="1" thickBot="1" x14ac:dyDescent="0.3">
      <c r="A10" s="84"/>
      <c r="B10" s="95" t="s">
        <v>70</v>
      </c>
      <c r="C10" s="392">
        <v>1901</v>
      </c>
      <c r="D10" s="392"/>
      <c r="E10" s="392"/>
      <c r="F10" s="393" t="s">
        <v>71</v>
      </c>
      <c r="G10" s="393"/>
      <c r="H10" s="392" t="e">
        <f>UPPER(VLOOKUP($C$10,#REF!,2,FALSE))</f>
        <v>#REF!</v>
      </c>
      <c r="I10" s="392"/>
      <c r="J10" s="394"/>
      <c r="Q10" s="306"/>
      <c r="R10" s="307"/>
      <c r="S10" s="308"/>
    </row>
    <row r="11" spans="1:19" ht="42" customHeight="1" x14ac:dyDescent="0.25">
      <c r="A11" s="85"/>
      <c r="B11" s="97" t="s">
        <v>72</v>
      </c>
      <c r="C11" s="361" t="e">
        <f>PROPER(VLOOKUP($C$10,#REF!,3,FALSE))</f>
        <v>#REF!</v>
      </c>
      <c r="D11" s="361"/>
      <c r="E11" s="361"/>
      <c r="F11" s="362" t="s">
        <v>73</v>
      </c>
      <c r="G11" s="362"/>
      <c r="H11" s="361" t="e">
        <f>PROPER(VLOOKUP($C$10,#REF!,4,FALSE))</f>
        <v>#REF!</v>
      </c>
      <c r="I11" s="361"/>
      <c r="J11" s="363"/>
    </row>
    <row r="12" spans="1:19" ht="42" customHeight="1" thickBot="1" x14ac:dyDescent="0.3">
      <c r="A12" s="85"/>
      <c r="B12" s="96" t="s">
        <v>25</v>
      </c>
      <c r="C12" s="387" t="e">
        <f>#REF!</f>
        <v>#REF!</v>
      </c>
      <c r="D12" s="387"/>
      <c r="E12" s="387"/>
      <c r="F12" s="388" t="s">
        <v>22</v>
      </c>
      <c r="G12" s="388"/>
      <c r="H12" s="387" t="e">
        <f>#REF!</f>
        <v>#REF!</v>
      </c>
      <c r="I12" s="387"/>
      <c r="J12" s="389"/>
    </row>
    <row r="13" spans="1:19" ht="16.5" thickBot="1" x14ac:dyDescent="0.3">
      <c r="A13" s="85"/>
      <c r="B13" s="85"/>
      <c r="C13" s="85"/>
      <c r="D13" s="85"/>
      <c r="E13" s="85"/>
      <c r="F13" s="80"/>
      <c r="G13" s="80"/>
    </row>
    <row r="14" spans="1:19" x14ac:dyDescent="0.25">
      <c r="B14" s="364" t="s">
        <v>74</v>
      </c>
      <c r="C14" s="365"/>
      <c r="D14" s="365"/>
      <c r="E14" s="366"/>
      <c r="F14" s="370" t="s">
        <v>75</v>
      </c>
      <c r="G14" s="370" t="s">
        <v>12</v>
      </c>
      <c r="H14" s="370" t="s">
        <v>7</v>
      </c>
      <c r="I14" s="372" t="s">
        <v>76</v>
      </c>
      <c r="J14" s="93" t="s">
        <v>77</v>
      </c>
    </row>
    <row r="15" spans="1:19" ht="21" customHeight="1" thickBot="1" x14ac:dyDescent="0.3">
      <c r="B15" s="367"/>
      <c r="C15" s="368"/>
      <c r="D15" s="368"/>
      <c r="E15" s="369"/>
      <c r="F15" s="371"/>
      <c r="G15" s="371"/>
      <c r="H15" s="371"/>
      <c r="I15" s="373"/>
      <c r="J15" s="94" t="s">
        <v>78</v>
      </c>
    </row>
    <row r="16" spans="1:19" ht="36.75" customHeight="1" x14ac:dyDescent="0.25">
      <c r="B16" s="395" t="e">
        <f>#REF!</f>
        <v>#REF!</v>
      </c>
      <c r="C16" s="396"/>
      <c r="D16" s="396"/>
      <c r="E16" s="397"/>
      <c r="F16" s="101" t="e">
        <f>#REF!</f>
        <v>#REF!</v>
      </c>
      <c r="G16" s="102" t="e">
        <f>VLOOKUP($C$10,'sheet 1'!#REF!,91,FALSE)</f>
        <v>#REF!</v>
      </c>
      <c r="H16" s="101" t="e">
        <f t="shared" ref="H16:H21" si="0">IF(G16&gt;89.99,"A+",IF(G16&gt;79.99,"A",IF(G16&gt;74.99,"B+",IF(G16&gt;69.99,"B",IF(G16&gt;64.99,"C+",IF(G16&gt;59.99,"C",IF(G16&gt;54.99,"D+",IF(G16&gt;49.99,"D","F"))))))))</f>
        <v>#REF!</v>
      </c>
      <c r="I16" s="102" t="e">
        <f t="shared" ref="I16:I21" si="1">IF(G16&gt;79.99,4,IF(G16&gt;74.99,G16/10-4,IF(G16&gt;69.99,G16/10-4,IF(G16&gt;64.99,G16/10-4,IF(G16&gt;59.99,G16/10-4,IF(G16&gt;54.99,G16/10-4,IF(G16&gt;49.99,G16/10-4,"0.00")))))))</f>
        <v>#REF!</v>
      </c>
      <c r="J16" s="103" t="e">
        <f t="shared" ref="J16:J21" si="2">F16*I16</f>
        <v>#REF!</v>
      </c>
    </row>
    <row r="17" spans="1:17" ht="36.75" customHeight="1" x14ac:dyDescent="0.25">
      <c r="B17" s="377" t="e">
        <f>#REF!</f>
        <v>#REF!</v>
      </c>
      <c r="C17" s="378"/>
      <c r="D17" s="378"/>
      <c r="E17" s="379"/>
      <c r="F17" s="104" t="e">
        <f>#REF!</f>
        <v>#REF!</v>
      </c>
      <c r="G17" s="105" t="e">
        <f>VLOOKUP($C$10,'sheet 1'!#REF!,95,FALSE)</f>
        <v>#REF!</v>
      </c>
      <c r="H17" s="104" t="e">
        <f t="shared" si="0"/>
        <v>#REF!</v>
      </c>
      <c r="I17" s="105" t="e">
        <f t="shared" si="1"/>
        <v>#REF!</v>
      </c>
      <c r="J17" s="106" t="e">
        <f t="shared" si="2"/>
        <v>#REF!</v>
      </c>
    </row>
    <row r="18" spans="1:17" ht="36.75" customHeight="1" x14ac:dyDescent="0.25">
      <c r="B18" s="377" t="e">
        <f>#REF!</f>
        <v>#REF!</v>
      </c>
      <c r="C18" s="378"/>
      <c r="D18" s="378"/>
      <c r="E18" s="379"/>
      <c r="F18" s="104" t="e">
        <f>#REF!</f>
        <v>#REF!</v>
      </c>
      <c r="G18" s="105" t="e">
        <f>VLOOKUP($C$10,'sheet 1'!#REF!,99,FALSE)</f>
        <v>#REF!</v>
      </c>
      <c r="H18" s="104" t="e">
        <f t="shared" si="0"/>
        <v>#REF!</v>
      </c>
      <c r="I18" s="105" t="e">
        <f t="shared" si="1"/>
        <v>#REF!</v>
      </c>
      <c r="J18" s="106" t="e">
        <f t="shared" si="2"/>
        <v>#REF!</v>
      </c>
    </row>
    <row r="19" spans="1:17" ht="36.75" customHeight="1" x14ac:dyDescent="0.25">
      <c r="B19" s="377" t="e">
        <f>#REF!</f>
        <v>#REF!</v>
      </c>
      <c r="C19" s="378"/>
      <c r="D19" s="378"/>
      <c r="E19" s="379"/>
      <c r="F19" s="104" t="e">
        <f>#REF!</f>
        <v>#REF!</v>
      </c>
      <c r="G19" s="105" t="e">
        <f>VLOOKUP($C$10,'sheet 1'!#REF!,103,FALSE)</f>
        <v>#REF!</v>
      </c>
      <c r="H19" s="104" t="e">
        <f t="shared" si="0"/>
        <v>#REF!</v>
      </c>
      <c r="I19" s="105" t="e">
        <f t="shared" si="1"/>
        <v>#REF!</v>
      </c>
      <c r="J19" s="106" t="e">
        <f t="shared" si="2"/>
        <v>#REF!</v>
      </c>
    </row>
    <row r="20" spans="1:17" ht="36.75" customHeight="1" x14ac:dyDescent="0.25">
      <c r="B20" s="377" t="e">
        <f>#REF!</f>
        <v>#REF!</v>
      </c>
      <c r="C20" s="378"/>
      <c r="D20" s="378"/>
      <c r="E20" s="379"/>
      <c r="F20" s="104" t="e">
        <f>#REF!</f>
        <v>#REF!</v>
      </c>
      <c r="G20" s="105" t="e">
        <f>VLOOKUP($C$10,'sheet 1'!#REF!,107,FALSE)</f>
        <v>#REF!</v>
      </c>
      <c r="H20" s="104" t="e">
        <f t="shared" si="0"/>
        <v>#REF!</v>
      </c>
      <c r="I20" s="105" t="e">
        <f t="shared" si="1"/>
        <v>#REF!</v>
      </c>
      <c r="J20" s="106" t="e">
        <f t="shared" si="2"/>
        <v>#REF!</v>
      </c>
    </row>
    <row r="21" spans="1:17" ht="36.75" customHeight="1" thickBot="1" x14ac:dyDescent="0.3">
      <c r="B21" s="358" t="e">
        <f>#REF!</f>
        <v>#REF!</v>
      </c>
      <c r="C21" s="359"/>
      <c r="D21" s="359"/>
      <c r="E21" s="360"/>
      <c r="F21" s="107" t="e">
        <f>#REF!</f>
        <v>#REF!</v>
      </c>
      <c r="G21" s="108" t="e">
        <f>VLOOKUP($C$10,'sheet 1'!#REF!,111,FALSE)</f>
        <v>#REF!</v>
      </c>
      <c r="H21" s="107" t="e">
        <f t="shared" si="0"/>
        <v>#REF!</v>
      </c>
      <c r="I21" s="108" t="e">
        <f t="shared" si="1"/>
        <v>#REF!</v>
      </c>
      <c r="J21" s="109" t="e">
        <f t="shared" si="2"/>
        <v>#REF!</v>
      </c>
    </row>
    <row r="22" spans="1:17" ht="15.75" thickBot="1" x14ac:dyDescent="0.3">
      <c r="F22" s="86" t="e">
        <f>SUM(F16:F21)</f>
        <v>#REF!</v>
      </c>
      <c r="J22" s="86" t="e">
        <f>SUM(J16:J21)</f>
        <v>#REF!</v>
      </c>
    </row>
    <row r="23" spans="1:17" ht="22.5" customHeight="1" x14ac:dyDescent="0.25">
      <c r="A23" t="s">
        <v>79</v>
      </c>
      <c r="B23" s="87" t="s">
        <v>86</v>
      </c>
      <c r="C23" s="380" t="e">
        <f>VLOOKUP($C$10,#REF!,11,FALSE)</f>
        <v>#REF!</v>
      </c>
      <c r="D23" s="381"/>
      <c r="L23" s="88" t="e">
        <f>SUM(G15:G21)</f>
        <v>#REF!</v>
      </c>
      <c r="Q23" s="89"/>
    </row>
    <row r="24" spans="1:17" ht="22.5" customHeight="1" x14ac:dyDescent="0.25">
      <c r="B24" s="90" t="s">
        <v>7</v>
      </c>
      <c r="C24" s="382" t="e">
        <f>IF(C23&gt;3.99,"A",IF(C23&gt;3.49,"B+",IF(C23&gt;2.99,"B",IF(C23&gt;2.49,"C+",IF(C23&gt;1.99,"C",IF(C23&gt;1.49,"D+",IF(C23&gt;0.99,"D","F")))))))</f>
        <v>#REF!</v>
      </c>
      <c r="D24" s="383"/>
      <c r="L24" s="91">
        <f>SUM(C15:C21)</f>
        <v>0</v>
      </c>
    </row>
    <row r="25" spans="1:17" ht="22.5" customHeight="1" x14ac:dyDescent="0.25">
      <c r="B25" s="90" t="s">
        <v>3</v>
      </c>
      <c r="C25" s="382" t="e">
        <f>IF(C23&gt;3.99,"Excellent",IF(C23&gt;3.49,"Very Good",IF(C23&gt;2.99,"Good",IF(C23&gt;2.49,"Fair",IF(C23&gt;1.99,"Fair",IF(C23&gt;1.49,"Pass (Probation)",IF(C23&gt;0.99,"Pass (Probation)","Fail")))))))</f>
        <v>#REF!</v>
      </c>
      <c r="D25" s="383"/>
    </row>
    <row r="26" spans="1:17" ht="22.5" customHeight="1" x14ac:dyDescent="0.25">
      <c r="B26" s="98" t="s">
        <v>6</v>
      </c>
      <c r="C26" s="382" t="e">
        <f>VLOOKUP($C$10,#REF!,14,FALSE)</f>
        <v>#REF!</v>
      </c>
      <c r="D26" s="383"/>
    </row>
    <row r="27" spans="1:17" ht="22.5" customHeight="1" thickBot="1" x14ac:dyDescent="0.35">
      <c r="B27" s="92" t="s">
        <v>81</v>
      </c>
      <c r="C27" s="384" t="e">
        <f>#REF!</f>
        <v>#REF!</v>
      </c>
      <c r="D27" s="385"/>
      <c r="G27" s="99" t="s">
        <v>61</v>
      </c>
    </row>
    <row r="28" spans="1:17" ht="18.75" x14ac:dyDescent="0.25">
      <c r="B28" s="386" t="s">
        <v>82</v>
      </c>
      <c r="C28" s="386"/>
      <c r="D28" s="386"/>
      <c r="G28" s="100" t="s">
        <v>4</v>
      </c>
    </row>
    <row r="29" spans="1:17" ht="15.75" x14ac:dyDescent="0.25">
      <c r="G29" s="79"/>
    </row>
  </sheetData>
  <mergeCells count="32">
    <mergeCell ref="C24:D24"/>
    <mergeCell ref="C25:D25"/>
    <mergeCell ref="C26:D26"/>
    <mergeCell ref="C27:D27"/>
    <mergeCell ref="B28:D28"/>
    <mergeCell ref="C23:D23"/>
    <mergeCell ref="B14:E15"/>
    <mergeCell ref="F14:F15"/>
    <mergeCell ref="G14:G15"/>
    <mergeCell ref="H14:H15"/>
    <mergeCell ref="B17:E17"/>
    <mergeCell ref="B18:E18"/>
    <mergeCell ref="B19:E19"/>
    <mergeCell ref="B20:E20"/>
    <mergeCell ref="B21:E21"/>
    <mergeCell ref="I14:I15"/>
    <mergeCell ref="B16:E16"/>
    <mergeCell ref="C11:E11"/>
    <mergeCell ref="F11:G11"/>
    <mergeCell ref="H11:J11"/>
    <mergeCell ref="C12:E12"/>
    <mergeCell ref="F12:G12"/>
    <mergeCell ref="H12:J12"/>
    <mergeCell ref="Q3:S4"/>
    <mergeCell ref="B4:J4"/>
    <mergeCell ref="Q5:S10"/>
    <mergeCell ref="B6:J6"/>
    <mergeCell ref="B7:J7"/>
    <mergeCell ref="B8:J8"/>
    <mergeCell ref="C10:E10"/>
    <mergeCell ref="F10:G10"/>
    <mergeCell ref="H10:J10"/>
  </mergeCells>
  <conditionalFormatting sqref="G16:G21">
    <cfRule type="cellIs" dxfId="3" priority="2" stopIfTrue="1" operator="lessThan">
      <formula>50</formula>
    </cfRule>
  </conditionalFormatting>
  <conditionalFormatting sqref="H16:H21">
    <cfRule type="containsText" dxfId="2" priority="1" stopIfTrue="1" operator="containsText" text="F">
      <formula>NOT(ISERROR(SEARCH("F",H16)))</formula>
    </cfRule>
  </conditionalFormatting>
  <printOptions horizontalCentered="1"/>
  <pageMargins left="0.19685039370078741" right="0.19685039370078741" top="0.27559055118110237" bottom="0.19685039370078741" header="0.31496062992125984" footer="0.31496062992125984"/>
  <pageSetup paperSize="9" orientation="portrait" horizontalDpi="4294967295" verticalDpi="4294967295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9"/>
  <sheetViews>
    <sheetView view="pageBreakPreview" topLeftCell="A19" zoomScale="85" zoomScaleNormal="100" zoomScaleSheetLayoutView="85" workbookViewId="0">
      <selection activeCell="V10" sqref="V10:V160"/>
    </sheetView>
  </sheetViews>
  <sheetFormatPr defaultRowHeight="15" x14ac:dyDescent="0.25"/>
  <cols>
    <col min="1" max="1" width="1.5703125" customWidth="1"/>
    <col min="2" max="2" width="22.28515625" customWidth="1"/>
    <col min="3" max="3" width="6.42578125" customWidth="1"/>
    <col min="4" max="4" width="7.5703125" customWidth="1"/>
    <col min="5" max="5" width="12.42578125" customWidth="1"/>
    <col min="6" max="7" width="10" customWidth="1"/>
    <col min="8" max="8" width="9.28515625" customWidth="1"/>
    <col min="9" max="9" width="9" customWidth="1"/>
    <col min="10" max="10" width="10.5703125" customWidth="1"/>
    <col min="11" max="13" width="0" hidden="1" customWidth="1"/>
    <col min="14" max="16" width="10.5703125" hidden="1" customWidth="1"/>
    <col min="17" max="17" width="31.42578125" bestFit="1" customWidth="1"/>
    <col min="18" max="22" width="10.5703125" customWidth="1"/>
    <col min="257" max="257" width="1.5703125" customWidth="1"/>
    <col min="258" max="258" width="22.28515625" customWidth="1"/>
    <col min="259" max="259" width="6.42578125" customWidth="1"/>
    <col min="260" max="260" width="7.5703125" customWidth="1"/>
    <col min="261" max="261" width="12.42578125" customWidth="1"/>
    <col min="262" max="263" width="10" customWidth="1"/>
    <col min="264" max="264" width="9.28515625" customWidth="1"/>
    <col min="265" max="265" width="9" customWidth="1"/>
    <col min="266" max="266" width="10.5703125" customWidth="1"/>
    <col min="267" max="269" width="0" hidden="1" customWidth="1"/>
    <col min="270" max="278" width="10.5703125" customWidth="1"/>
    <col min="513" max="513" width="1.5703125" customWidth="1"/>
    <col min="514" max="514" width="22.28515625" customWidth="1"/>
    <col min="515" max="515" width="6.42578125" customWidth="1"/>
    <col min="516" max="516" width="7.5703125" customWidth="1"/>
    <col min="517" max="517" width="12.42578125" customWidth="1"/>
    <col min="518" max="519" width="10" customWidth="1"/>
    <col min="520" max="520" width="9.28515625" customWidth="1"/>
    <col min="521" max="521" width="9" customWidth="1"/>
    <col min="522" max="522" width="10.5703125" customWidth="1"/>
    <col min="523" max="525" width="0" hidden="1" customWidth="1"/>
    <col min="526" max="534" width="10.5703125" customWidth="1"/>
    <col min="769" max="769" width="1.5703125" customWidth="1"/>
    <col min="770" max="770" width="22.28515625" customWidth="1"/>
    <col min="771" max="771" width="6.42578125" customWidth="1"/>
    <col min="772" max="772" width="7.5703125" customWidth="1"/>
    <col min="773" max="773" width="12.42578125" customWidth="1"/>
    <col min="774" max="775" width="10" customWidth="1"/>
    <col min="776" max="776" width="9.28515625" customWidth="1"/>
    <col min="777" max="777" width="9" customWidth="1"/>
    <col min="778" max="778" width="10.5703125" customWidth="1"/>
    <col min="779" max="781" width="0" hidden="1" customWidth="1"/>
    <col min="782" max="790" width="10.5703125" customWidth="1"/>
    <col min="1025" max="1025" width="1.5703125" customWidth="1"/>
    <col min="1026" max="1026" width="22.28515625" customWidth="1"/>
    <col min="1027" max="1027" width="6.42578125" customWidth="1"/>
    <col min="1028" max="1028" width="7.5703125" customWidth="1"/>
    <col min="1029" max="1029" width="12.42578125" customWidth="1"/>
    <col min="1030" max="1031" width="10" customWidth="1"/>
    <col min="1032" max="1032" width="9.28515625" customWidth="1"/>
    <col min="1033" max="1033" width="9" customWidth="1"/>
    <col min="1034" max="1034" width="10.5703125" customWidth="1"/>
    <col min="1035" max="1037" width="0" hidden="1" customWidth="1"/>
    <col min="1038" max="1046" width="10.5703125" customWidth="1"/>
    <col min="1281" max="1281" width="1.5703125" customWidth="1"/>
    <col min="1282" max="1282" width="22.28515625" customWidth="1"/>
    <col min="1283" max="1283" width="6.42578125" customWidth="1"/>
    <col min="1284" max="1284" width="7.5703125" customWidth="1"/>
    <col min="1285" max="1285" width="12.42578125" customWidth="1"/>
    <col min="1286" max="1287" width="10" customWidth="1"/>
    <col min="1288" max="1288" width="9.28515625" customWidth="1"/>
    <col min="1289" max="1289" width="9" customWidth="1"/>
    <col min="1290" max="1290" width="10.5703125" customWidth="1"/>
    <col min="1291" max="1293" width="0" hidden="1" customWidth="1"/>
    <col min="1294" max="1302" width="10.5703125" customWidth="1"/>
    <col min="1537" max="1537" width="1.5703125" customWidth="1"/>
    <col min="1538" max="1538" width="22.28515625" customWidth="1"/>
    <col min="1539" max="1539" width="6.42578125" customWidth="1"/>
    <col min="1540" max="1540" width="7.5703125" customWidth="1"/>
    <col min="1541" max="1541" width="12.42578125" customWidth="1"/>
    <col min="1542" max="1543" width="10" customWidth="1"/>
    <col min="1544" max="1544" width="9.28515625" customWidth="1"/>
    <col min="1545" max="1545" width="9" customWidth="1"/>
    <col min="1546" max="1546" width="10.5703125" customWidth="1"/>
    <col min="1547" max="1549" width="0" hidden="1" customWidth="1"/>
    <col min="1550" max="1558" width="10.5703125" customWidth="1"/>
    <col min="1793" max="1793" width="1.5703125" customWidth="1"/>
    <col min="1794" max="1794" width="22.28515625" customWidth="1"/>
    <col min="1795" max="1795" width="6.42578125" customWidth="1"/>
    <col min="1796" max="1796" width="7.5703125" customWidth="1"/>
    <col min="1797" max="1797" width="12.42578125" customWidth="1"/>
    <col min="1798" max="1799" width="10" customWidth="1"/>
    <col min="1800" max="1800" width="9.28515625" customWidth="1"/>
    <col min="1801" max="1801" width="9" customWidth="1"/>
    <col min="1802" max="1802" width="10.5703125" customWidth="1"/>
    <col min="1803" max="1805" width="0" hidden="1" customWidth="1"/>
    <col min="1806" max="1814" width="10.5703125" customWidth="1"/>
    <col min="2049" max="2049" width="1.5703125" customWidth="1"/>
    <col min="2050" max="2050" width="22.28515625" customWidth="1"/>
    <col min="2051" max="2051" width="6.42578125" customWidth="1"/>
    <col min="2052" max="2052" width="7.5703125" customWidth="1"/>
    <col min="2053" max="2053" width="12.42578125" customWidth="1"/>
    <col min="2054" max="2055" width="10" customWidth="1"/>
    <col min="2056" max="2056" width="9.28515625" customWidth="1"/>
    <col min="2057" max="2057" width="9" customWidth="1"/>
    <col min="2058" max="2058" width="10.5703125" customWidth="1"/>
    <col min="2059" max="2061" width="0" hidden="1" customWidth="1"/>
    <col min="2062" max="2070" width="10.5703125" customWidth="1"/>
    <col min="2305" max="2305" width="1.5703125" customWidth="1"/>
    <col min="2306" max="2306" width="22.28515625" customWidth="1"/>
    <col min="2307" max="2307" width="6.42578125" customWidth="1"/>
    <col min="2308" max="2308" width="7.5703125" customWidth="1"/>
    <col min="2309" max="2309" width="12.42578125" customWidth="1"/>
    <col min="2310" max="2311" width="10" customWidth="1"/>
    <col min="2312" max="2312" width="9.28515625" customWidth="1"/>
    <col min="2313" max="2313" width="9" customWidth="1"/>
    <col min="2314" max="2314" width="10.5703125" customWidth="1"/>
    <col min="2315" max="2317" width="0" hidden="1" customWidth="1"/>
    <col min="2318" max="2326" width="10.5703125" customWidth="1"/>
    <col min="2561" max="2561" width="1.5703125" customWidth="1"/>
    <col min="2562" max="2562" width="22.28515625" customWidth="1"/>
    <col min="2563" max="2563" width="6.42578125" customWidth="1"/>
    <col min="2564" max="2564" width="7.5703125" customWidth="1"/>
    <col min="2565" max="2565" width="12.42578125" customWidth="1"/>
    <col min="2566" max="2567" width="10" customWidth="1"/>
    <col min="2568" max="2568" width="9.28515625" customWidth="1"/>
    <col min="2569" max="2569" width="9" customWidth="1"/>
    <col min="2570" max="2570" width="10.5703125" customWidth="1"/>
    <col min="2571" max="2573" width="0" hidden="1" customWidth="1"/>
    <col min="2574" max="2582" width="10.5703125" customWidth="1"/>
    <col min="2817" max="2817" width="1.5703125" customWidth="1"/>
    <col min="2818" max="2818" width="22.28515625" customWidth="1"/>
    <col min="2819" max="2819" width="6.42578125" customWidth="1"/>
    <col min="2820" max="2820" width="7.5703125" customWidth="1"/>
    <col min="2821" max="2821" width="12.42578125" customWidth="1"/>
    <col min="2822" max="2823" width="10" customWidth="1"/>
    <col min="2824" max="2824" width="9.28515625" customWidth="1"/>
    <col min="2825" max="2825" width="9" customWidth="1"/>
    <col min="2826" max="2826" width="10.5703125" customWidth="1"/>
    <col min="2827" max="2829" width="0" hidden="1" customWidth="1"/>
    <col min="2830" max="2838" width="10.5703125" customWidth="1"/>
    <col min="3073" max="3073" width="1.5703125" customWidth="1"/>
    <col min="3074" max="3074" width="22.28515625" customWidth="1"/>
    <col min="3075" max="3075" width="6.42578125" customWidth="1"/>
    <col min="3076" max="3076" width="7.5703125" customWidth="1"/>
    <col min="3077" max="3077" width="12.42578125" customWidth="1"/>
    <col min="3078" max="3079" width="10" customWidth="1"/>
    <col min="3080" max="3080" width="9.28515625" customWidth="1"/>
    <col min="3081" max="3081" width="9" customWidth="1"/>
    <col min="3082" max="3082" width="10.5703125" customWidth="1"/>
    <col min="3083" max="3085" width="0" hidden="1" customWidth="1"/>
    <col min="3086" max="3094" width="10.5703125" customWidth="1"/>
    <col min="3329" max="3329" width="1.5703125" customWidth="1"/>
    <col min="3330" max="3330" width="22.28515625" customWidth="1"/>
    <col min="3331" max="3331" width="6.42578125" customWidth="1"/>
    <col min="3332" max="3332" width="7.5703125" customWidth="1"/>
    <col min="3333" max="3333" width="12.42578125" customWidth="1"/>
    <col min="3334" max="3335" width="10" customWidth="1"/>
    <col min="3336" max="3336" width="9.28515625" customWidth="1"/>
    <col min="3337" max="3337" width="9" customWidth="1"/>
    <col min="3338" max="3338" width="10.5703125" customWidth="1"/>
    <col min="3339" max="3341" width="0" hidden="1" customWidth="1"/>
    <col min="3342" max="3350" width="10.5703125" customWidth="1"/>
    <col min="3585" max="3585" width="1.5703125" customWidth="1"/>
    <col min="3586" max="3586" width="22.28515625" customWidth="1"/>
    <col min="3587" max="3587" width="6.42578125" customWidth="1"/>
    <col min="3588" max="3588" width="7.5703125" customWidth="1"/>
    <col min="3589" max="3589" width="12.42578125" customWidth="1"/>
    <col min="3590" max="3591" width="10" customWidth="1"/>
    <col min="3592" max="3592" width="9.28515625" customWidth="1"/>
    <col min="3593" max="3593" width="9" customWidth="1"/>
    <col min="3594" max="3594" width="10.5703125" customWidth="1"/>
    <col min="3595" max="3597" width="0" hidden="1" customWidth="1"/>
    <col min="3598" max="3606" width="10.5703125" customWidth="1"/>
    <col min="3841" max="3841" width="1.5703125" customWidth="1"/>
    <col min="3842" max="3842" width="22.28515625" customWidth="1"/>
    <col min="3843" max="3843" width="6.42578125" customWidth="1"/>
    <col min="3844" max="3844" width="7.5703125" customWidth="1"/>
    <col min="3845" max="3845" width="12.42578125" customWidth="1"/>
    <col min="3846" max="3847" width="10" customWidth="1"/>
    <col min="3848" max="3848" width="9.28515625" customWidth="1"/>
    <col min="3849" max="3849" width="9" customWidth="1"/>
    <col min="3850" max="3850" width="10.5703125" customWidth="1"/>
    <col min="3851" max="3853" width="0" hidden="1" customWidth="1"/>
    <col min="3854" max="3862" width="10.5703125" customWidth="1"/>
    <col min="4097" max="4097" width="1.5703125" customWidth="1"/>
    <col min="4098" max="4098" width="22.28515625" customWidth="1"/>
    <col min="4099" max="4099" width="6.42578125" customWidth="1"/>
    <col min="4100" max="4100" width="7.5703125" customWidth="1"/>
    <col min="4101" max="4101" width="12.42578125" customWidth="1"/>
    <col min="4102" max="4103" width="10" customWidth="1"/>
    <col min="4104" max="4104" width="9.28515625" customWidth="1"/>
    <col min="4105" max="4105" width="9" customWidth="1"/>
    <col min="4106" max="4106" width="10.5703125" customWidth="1"/>
    <col min="4107" max="4109" width="0" hidden="1" customWidth="1"/>
    <col min="4110" max="4118" width="10.5703125" customWidth="1"/>
    <col min="4353" max="4353" width="1.5703125" customWidth="1"/>
    <col min="4354" max="4354" width="22.28515625" customWidth="1"/>
    <col min="4355" max="4355" width="6.42578125" customWidth="1"/>
    <col min="4356" max="4356" width="7.5703125" customWidth="1"/>
    <col min="4357" max="4357" width="12.42578125" customWidth="1"/>
    <col min="4358" max="4359" width="10" customWidth="1"/>
    <col min="4360" max="4360" width="9.28515625" customWidth="1"/>
    <col min="4361" max="4361" width="9" customWidth="1"/>
    <col min="4362" max="4362" width="10.5703125" customWidth="1"/>
    <col min="4363" max="4365" width="0" hidden="1" customWidth="1"/>
    <col min="4366" max="4374" width="10.5703125" customWidth="1"/>
    <col min="4609" max="4609" width="1.5703125" customWidth="1"/>
    <col min="4610" max="4610" width="22.28515625" customWidth="1"/>
    <col min="4611" max="4611" width="6.42578125" customWidth="1"/>
    <col min="4612" max="4612" width="7.5703125" customWidth="1"/>
    <col min="4613" max="4613" width="12.42578125" customWidth="1"/>
    <col min="4614" max="4615" width="10" customWidth="1"/>
    <col min="4616" max="4616" width="9.28515625" customWidth="1"/>
    <col min="4617" max="4617" width="9" customWidth="1"/>
    <col min="4618" max="4618" width="10.5703125" customWidth="1"/>
    <col min="4619" max="4621" width="0" hidden="1" customWidth="1"/>
    <col min="4622" max="4630" width="10.5703125" customWidth="1"/>
    <col min="4865" max="4865" width="1.5703125" customWidth="1"/>
    <col min="4866" max="4866" width="22.28515625" customWidth="1"/>
    <col min="4867" max="4867" width="6.42578125" customWidth="1"/>
    <col min="4868" max="4868" width="7.5703125" customWidth="1"/>
    <col min="4869" max="4869" width="12.42578125" customWidth="1"/>
    <col min="4870" max="4871" width="10" customWidth="1"/>
    <col min="4872" max="4872" width="9.28515625" customWidth="1"/>
    <col min="4873" max="4873" width="9" customWidth="1"/>
    <col min="4874" max="4874" width="10.5703125" customWidth="1"/>
    <col min="4875" max="4877" width="0" hidden="1" customWidth="1"/>
    <col min="4878" max="4886" width="10.5703125" customWidth="1"/>
    <col min="5121" max="5121" width="1.5703125" customWidth="1"/>
    <col min="5122" max="5122" width="22.28515625" customWidth="1"/>
    <col min="5123" max="5123" width="6.42578125" customWidth="1"/>
    <col min="5124" max="5124" width="7.5703125" customWidth="1"/>
    <col min="5125" max="5125" width="12.42578125" customWidth="1"/>
    <col min="5126" max="5127" width="10" customWidth="1"/>
    <col min="5128" max="5128" width="9.28515625" customWidth="1"/>
    <col min="5129" max="5129" width="9" customWidth="1"/>
    <col min="5130" max="5130" width="10.5703125" customWidth="1"/>
    <col min="5131" max="5133" width="0" hidden="1" customWidth="1"/>
    <col min="5134" max="5142" width="10.5703125" customWidth="1"/>
    <col min="5377" max="5377" width="1.5703125" customWidth="1"/>
    <col min="5378" max="5378" width="22.28515625" customWidth="1"/>
    <col min="5379" max="5379" width="6.42578125" customWidth="1"/>
    <col min="5380" max="5380" width="7.5703125" customWidth="1"/>
    <col min="5381" max="5381" width="12.42578125" customWidth="1"/>
    <col min="5382" max="5383" width="10" customWidth="1"/>
    <col min="5384" max="5384" width="9.28515625" customWidth="1"/>
    <col min="5385" max="5385" width="9" customWidth="1"/>
    <col min="5386" max="5386" width="10.5703125" customWidth="1"/>
    <col min="5387" max="5389" width="0" hidden="1" customWidth="1"/>
    <col min="5390" max="5398" width="10.5703125" customWidth="1"/>
    <col min="5633" max="5633" width="1.5703125" customWidth="1"/>
    <col min="5634" max="5634" width="22.28515625" customWidth="1"/>
    <col min="5635" max="5635" width="6.42578125" customWidth="1"/>
    <col min="5636" max="5636" width="7.5703125" customWidth="1"/>
    <col min="5637" max="5637" width="12.42578125" customWidth="1"/>
    <col min="5638" max="5639" width="10" customWidth="1"/>
    <col min="5640" max="5640" width="9.28515625" customWidth="1"/>
    <col min="5641" max="5641" width="9" customWidth="1"/>
    <col min="5642" max="5642" width="10.5703125" customWidth="1"/>
    <col min="5643" max="5645" width="0" hidden="1" customWidth="1"/>
    <col min="5646" max="5654" width="10.5703125" customWidth="1"/>
    <col min="5889" max="5889" width="1.5703125" customWidth="1"/>
    <col min="5890" max="5890" width="22.28515625" customWidth="1"/>
    <col min="5891" max="5891" width="6.42578125" customWidth="1"/>
    <col min="5892" max="5892" width="7.5703125" customWidth="1"/>
    <col min="5893" max="5893" width="12.42578125" customWidth="1"/>
    <col min="5894" max="5895" width="10" customWidth="1"/>
    <col min="5896" max="5896" width="9.28515625" customWidth="1"/>
    <col min="5897" max="5897" width="9" customWidth="1"/>
    <col min="5898" max="5898" width="10.5703125" customWidth="1"/>
    <col min="5899" max="5901" width="0" hidden="1" customWidth="1"/>
    <col min="5902" max="5910" width="10.5703125" customWidth="1"/>
    <col min="6145" max="6145" width="1.5703125" customWidth="1"/>
    <col min="6146" max="6146" width="22.28515625" customWidth="1"/>
    <col min="6147" max="6147" width="6.42578125" customWidth="1"/>
    <col min="6148" max="6148" width="7.5703125" customWidth="1"/>
    <col min="6149" max="6149" width="12.42578125" customWidth="1"/>
    <col min="6150" max="6151" width="10" customWidth="1"/>
    <col min="6152" max="6152" width="9.28515625" customWidth="1"/>
    <col min="6153" max="6153" width="9" customWidth="1"/>
    <col min="6154" max="6154" width="10.5703125" customWidth="1"/>
    <col min="6155" max="6157" width="0" hidden="1" customWidth="1"/>
    <col min="6158" max="6166" width="10.5703125" customWidth="1"/>
    <col min="6401" max="6401" width="1.5703125" customWidth="1"/>
    <col min="6402" max="6402" width="22.28515625" customWidth="1"/>
    <col min="6403" max="6403" width="6.42578125" customWidth="1"/>
    <col min="6404" max="6404" width="7.5703125" customWidth="1"/>
    <col min="6405" max="6405" width="12.42578125" customWidth="1"/>
    <col min="6406" max="6407" width="10" customWidth="1"/>
    <col min="6408" max="6408" width="9.28515625" customWidth="1"/>
    <col min="6409" max="6409" width="9" customWidth="1"/>
    <col min="6410" max="6410" width="10.5703125" customWidth="1"/>
    <col min="6411" max="6413" width="0" hidden="1" customWidth="1"/>
    <col min="6414" max="6422" width="10.5703125" customWidth="1"/>
    <col min="6657" max="6657" width="1.5703125" customWidth="1"/>
    <col min="6658" max="6658" width="22.28515625" customWidth="1"/>
    <col min="6659" max="6659" width="6.42578125" customWidth="1"/>
    <col min="6660" max="6660" width="7.5703125" customWidth="1"/>
    <col min="6661" max="6661" width="12.42578125" customWidth="1"/>
    <col min="6662" max="6663" width="10" customWidth="1"/>
    <col min="6664" max="6664" width="9.28515625" customWidth="1"/>
    <col min="6665" max="6665" width="9" customWidth="1"/>
    <col min="6666" max="6666" width="10.5703125" customWidth="1"/>
    <col min="6667" max="6669" width="0" hidden="1" customWidth="1"/>
    <col min="6670" max="6678" width="10.5703125" customWidth="1"/>
    <col min="6913" max="6913" width="1.5703125" customWidth="1"/>
    <col min="6914" max="6914" width="22.28515625" customWidth="1"/>
    <col min="6915" max="6915" width="6.42578125" customWidth="1"/>
    <col min="6916" max="6916" width="7.5703125" customWidth="1"/>
    <col min="6917" max="6917" width="12.42578125" customWidth="1"/>
    <col min="6918" max="6919" width="10" customWidth="1"/>
    <col min="6920" max="6920" width="9.28515625" customWidth="1"/>
    <col min="6921" max="6921" width="9" customWidth="1"/>
    <col min="6922" max="6922" width="10.5703125" customWidth="1"/>
    <col min="6923" max="6925" width="0" hidden="1" customWidth="1"/>
    <col min="6926" max="6934" width="10.5703125" customWidth="1"/>
    <col min="7169" max="7169" width="1.5703125" customWidth="1"/>
    <col min="7170" max="7170" width="22.28515625" customWidth="1"/>
    <col min="7171" max="7171" width="6.42578125" customWidth="1"/>
    <col min="7172" max="7172" width="7.5703125" customWidth="1"/>
    <col min="7173" max="7173" width="12.42578125" customWidth="1"/>
    <col min="7174" max="7175" width="10" customWidth="1"/>
    <col min="7176" max="7176" width="9.28515625" customWidth="1"/>
    <col min="7177" max="7177" width="9" customWidth="1"/>
    <col min="7178" max="7178" width="10.5703125" customWidth="1"/>
    <col min="7179" max="7181" width="0" hidden="1" customWidth="1"/>
    <col min="7182" max="7190" width="10.5703125" customWidth="1"/>
    <col min="7425" max="7425" width="1.5703125" customWidth="1"/>
    <col min="7426" max="7426" width="22.28515625" customWidth="1"/>
    <col min="7427" max="7427" width="6.42578125" customWidth="1"/>
    <col min="7428" max="7428" width="7.5703125" customWidth="1"/>
    <col min="7429" max="7429" width="12.42578125" customWidth="1"/>
    <col min="7430" max="7431" width="10" customWidth="1"/>
    <col min="7432" max="7432" width="9.28515625" customWidth="1"/>
    <col min="7433" max="7433" width="9" customWidth="1"/>
    <col min="7434" max="7434" width="10.5703125" customWidth="1"/>
    <col min="7435" max="7437" width="0" hidden="1" customWidth="1"/>
    <col min="7438" max="7446" width="10.5703125" customWidth="1"/>
    <col min="7681" max="7681" width="1.5703125" customWidth="1"/>
    <col min="7682" max="7682" width="22.28515625" customWidth="1"/>
    <col min="7683" max="7683" width="6.42578125" customWidth="1"/>
    <col min="7684" max="7684" width="7.5703125" customWidth="1"/>
    <col min="7685" max="7685" width="12.42578125" customWidth="1"/>
    <col min="7686" max="7687" width="10" customWidth="1"/>
    <col min="7688" max="7688" width="9.28515625" customWidth="1"/>
    <col min="7689" max="7689" width="9" customWidth="1"/>
    <col min="7690" max="7690" width="10.5703125" customWidth="1"/>
    <col min="7691" max="7693" width="0" hidden="1" customWidth="1"/>
    <col min="7694" max="7702" width="10.5703125" customWidth="1"/>
    <col min="7937" max="7937" width="1.5703125" customWidth="1"/>
    <col min="7938" max="7938" width="22.28515625" customWidth="1"/>
    <col min="7939" max="7939" width="6.42578125" customWidth="1"/>
    <col min="7940" max="7940" width="7.5703125" customWidth="1"/>
    <col min="7941" max="7941" width="12.42578125" customWidth="1"/>
    <col min="7942" max="7943" width="10" customWidth="1"/>
    <col min="7944" max="7944" width="9.28515625" customWidth="1"/>
    <col min="7945" max="7945" width="9" customWidth="1"/>
    <col min="7946" max="7946" width="10.5703125" customWidth="1"/>
    <col min="7947" max="7949" width="0" hidden="1" customWidth="1"/>
    <col min="7950" max="7958" width="10.5703125" customWidth="1"/>
    <col min="8193" max="8193" width="1.5703125" customWidth="1"/>
    <col min="8194" max="8194" width="22.28515625" customWidth="1"/>
    <col min="8195" max="8195" width="6.42578125" customWidth="1"/>
    <col min="8196" max="8196" width="7.5703125" customWidth="1"/>
    <col min="8197" max="8197" width="12.42578125" customWidth="1"/>
    <col min="8198" max="8199" width="10" customWidth="1"/>
    <col min="8200" max="8200" width="9.28515625" customWidth="1"/>
    <col min="8201" max="8201" width="9" customWidth="1"/>
    <col min="8202" max="8202" width="10.5703125" customWidth="1"/>
    <col min="8203" max="8205" width="0" hidden="1" customWidth="1"/>
    <col min="8206" max="8214" width="10.5703125" customWidth="1"/>
    <col min="8449" max="8449" width="1.5703125" customWidth="1"/>
    <col min="8450" max="8450" width="22.28515625" customWidth="1"/>
    <col min="8451" max="8451" width="6.42578125" customWidth="1"/>
    <col min="8452" max="8452" width="7.5703125" customWidth="1"/>
    <col min="8453" max="8453" width="12.42578125" customWidth="1"/>
    <col min="8454" max="8455" width="10" customWidth="1"/>
    <col min="8456" max="8456" width="9.28515625" customWidth="1"/>
    <col min="8457" max="8457" width="9" customWidth="1"/>
    <col min="8458" max="8458" width="10.5703125" customWidth="1"/>
    <col min="8459" max="8461" width="0" hidden="1" customWidth="1"/>
    <col min="8462" max="8470" width="10.5703125" customWidth="1"/>
    <col min="8705" max="8705" width="1.5703125" customWidth="1"/>
    <col min="8706" max="8706" width="22.28515625" customWidth="1"/>
    <col min="8707" max="8707" width="6.42578125" customWidth="1"/>
    <col min="8708" max="8708" width="7.5703125" customWidth="1"/>
    <col min="8709" max="8709" width="12.42578125" customWidth="1"/>
    <col min="8710" max="8711" width="10" customWidth="1"/>
    <col min="8712" max="8712" width="9.28515625" customWidth="1"/>
    <col min="8713" max="8713" width="9" customWidth="1"/>
    <col min="8714" max="8714" width="10.5703125" customWidth="1"/>
    <col min="8715" max="8717" width="0" hidden="1" customWidth="1"/>
    <col min="8718" max="8726" width="10.5703125" customWidth="1"/>
    <col min="8961" max="8961" width="1.5703125" customWidth="1"/>
    <col min="8962" max="8962" width="22.28515625" customWidth="1"/>
    <col min="8963" max="8963" width="6.42578125" customWidth="1"/>
    <col min="8964" max="8964" width="7.5703125" customWidth="1"/>
    <col min="8965" max="8965" width="12.42578125" customWidth="1"/>
    <col min="8966" max="8967" width="10" customWidth="1"/>
    <col min="8968" max="8968" width="9.28515625" customWidth="1"/>
    <col min="8969" max="8969" width="9" customWidth="1"/>
    <col min="8970" max="8970" width="10.5703125" customWidth="1"/>
    <col min="8971" max="8973" width="0" hidden="1" customWidth="1"/>
    <col min="8974" max="8982" width="10.5703125" customWidth="1"/>
    <col min="9217" max="9217" width="1.5703125" customWidth="1"/>
    <col min="9218" max="9218" width="22.28515625" customWidth="1"/>
    <col min="9219" max="9219" width="6.42578125" customWidth="1"/>
    <col min="9220" max="9220" width="7.5703125" customWidth="1"/>
    <col min="9221" max="9221" width="12.42578125" customWidth="1"/>
    <col min="9222" max="9223" width="10" customWidth="1"/>
    <col min="9224" max="9224" width="9.28515625" customWidth="1"/>
    <col min="9225" max="9225" width="9" customWidth="1"/>
    <col min="9226" max="9226" width="10.5703125" customWidth="1"/>
    <col min="9227" max="9229" width="0" hidden="1" customWidth="1"/>
    <col min="9230" max="9238" width="10.5703125" customWidth="1"/>
    <col min="9473" max="9473" width="1.5703125" customWidth="1"/>
    <col min="9474" max="9474" width="22.28515625" customWidth="1"/>
    <col min="9475" max="9475" width="6.42578125" customWidth="1"/>
    <col min="9476" max="9476" width="7.5703125" customWidth="1"/>
    <col min="9477" max="9477" width="12.42578125" customWidth="1"/>
    <col min="9478" max="9479" width="10" customWidth="1"/>
    <col min="9480" max="9480" width="9.28515625" customWidth="1"/>
    <col min="9481" max="9481" width="9" customWidth="1"/>
    <col min="9482" max="9482" width="10.5703125" customWidth="1"/>
    <col min="9483" max="9485" width="0" hidden="1" customWidth="1"/>
    <col min="9486" max="9494" width="10.5703125" customWidth="1"/>
    <col min="9729" max="9729" width="1.5703125" customWidth="1"/>
    <col min="9730" max="9730" width="22.28515625" customWidth="1"/>
    <col min="9731" max="9731" width="6.42578125" customWidth="1"/>
    <col min="9732" max="9732" width="7.5703125" customWidth="1"/>
    <col min="9733" max="9733" width="12.42578125" customWidth="1"/>
    <col min="9734" max="9735" width="10" customWidth="1"/>
    <col min="9736" max="9736" width="9.28515625" customWidth="1"/>
    <col min="9737" max="9737" width="9" customWidth="1"/>
    <col min="9738" max="9738" width="10.5703125" customWidth="1"/>
    <col min="9739" max="9741" width="0" hidden="1" customWidth="1"/>
    <col min="9742" max="9750" width="10.5703125" customWidth="1"/>
    <col min="9985" max="9985" width="1.5703125" customWidth="1"/>
    <col min="9986" max="9986" width="22.28515625" customWidth="1"/>
    <col min="9987" max="9987" width="6.42578125" customWidth="1"/>
    <col min="9988" max="9988" width="7.5703125" customWidth="1"/>
    <col min="9989" max="9989" width="12.42578125" customWidth="1"/>
    <col min="9990" max="9991" width="10" customWidth="1"/>
    <col min="9992" max="9992" width="9.28515625" customWidth="1"/>
    <col min="9993" max="9993" width="9" customWidth="1"/>
    <col min="9994" max="9994" width="10.5703125" customWidth="1"/>
    <col min="9995" max="9997" width="0" hidden="1" customWidth="1"/>
    <col min="9998" max="10006" width="10.5703125" customWidth="1"/>
    <col min="10241" max="10241" width="1.5703125" customWidth="1"/>
    <col min="10242" max="10242" width="22.28515625" customWidth="1"/>
    <col min="10243" max="10243" width="6.42578125" customWidth="1"/>
    <col min="10244" max="10244" width="7.5703125" customWidth="1"/>
    <col min="10245" max="10245" width="12.42578125" customWidth="1"/>
    <col min="10246" max="10247" width="10" customWidth="1"/>
    <col min="10248" max="10248" width="9.28515625" customWidth="1"/>
    <col min="10249" max="10249" width="9" customWidth="1"/>
    <col min="10250" max="10250" width="10.5703125" customWidth="1"/>
    <col min="10251" max="10253" width="0" hidden="1" customWidth="1"/>
    <col min="10254" max="10262" width="10.5703125" customWidth="1"/>
    <col min="10497" max="10497" width="1.5703125" customWidth="1"/>
    <col min="10498" max="10498" width="22.28515625" customWidth="1"/>
    <col min="10499" max="10499" width="6.42578125" customWidth="1"/>
    <col min="10500" max="10500" width="7.5703125" customWidth="1"/>
    <col min="10501" max="10501" width="12.42578125" customWidth="1"/>
    <col min="10502" max="10503" width="10" customWidth="1"/>
    <col min="10504" max="10504" width="9.28515625" customWidth="1"/>
    <col min="10505" max="10505" width="9" customWidth="1"/>
    <col min="10506" max="10506" width="10.5703125" customWidth="1"/>
    <col min="10507" max="10509" width="0" hidden="1" customWidth="1"/>
    <col min="10510" max="10518" width="10.5703125" customWidth="1"/>
    <col min="10753" max="10753" width="1.5703125" customWidth="1"/>
    <col min="10754" max="10754" width="22.28515625" customWidth="1"/>
    <col min="10755" max="10755" width="6.42578125" customWidth="1"/>
    <col min="10756" max="10756" width="7.5703125" customWidth="1"/>
    <col min="10757" max="10757" width="12.42578125" customWidth="1"/>
    <col min="10758" max="10759" width="10" customWidth="1"/>
    <col min="10760" max="10760" width="9.28515625" customWidth="1"/>
    <col min="10761" max="10761" width="9" customWidth="1"/>
    <col min="10762" max="10762" width="10.5703125" customWidth="1"/>
    <col min="10763" max="10765" width="0" hidden="1" customWidth="1"/>
    <col min="10766" max="10774" width="10.5703125" customWidth="1"/>
    <col min="11009" max="11009" width="1.5703125" customWidth="1"/>
    <col min="11010" max="11010" width="22.28515625" customWidth="1"/>
    <col min="11011" max="11011" width="6.42578125" customWidth="1"/>
    <col min="11012" max="11012" width="7.5703125" customWidth="1"/>
    <col min="11013" max="11013" width="12.42578125" customWidth="1"/>
    <col min="11014" max="11015" width="10" customWidth="1"/>
    <col min="11016" max="11016" width="9.28515625" customWidth="1"/>
    <col min="11017" max="11017" width="9" customWidth="1"/>
    <col min="11018" max="11018" width="10.5703125" customWidth="1"/>
    <col min="11019" max="11021" width="0" hidden="1" customWidth="1"/>
    <col min="11022" max="11030" width="10.5703125" customWidth="1"/>
    <col min="11265" max="11265" width="1.5703125" customWidth="1"/>
    <col min="11266" max="11266" width="22.28515625" customWidth="1"/>
    <col min="11267" max="11267" width="6.42578125" customWidth="1"/>
    <col min="11268" max="11268" width="7.5703125" customWidth="1"/>
    <col min="11269" max="11269" width="12.42578125" customWidth="1"/>
    <col min="11270" max="11271" width="10" customWidth="1"/>
    <col min="11272" max="11272" width="9.28515625" customWidth="1"/>
    <col min="11273" max="11273" width="9" customWidth="1"/>
    <col min="11274" max="11274" width="10.5703125" customWidth="1"/>
    <col min="11275" max="11277" width="0" hidden="1" customWidth="1"/>
    <col min="11278" max="11286" width="10.5703125" customWidth="1"/>
    <col min="11521" max="11521" width="1.5703125" customWidth="1"/>
    <col min="11522" max="11522" width="22.28515625" customWidth="1"/>
    <col min="11523" max="11523" width="6.42578125" customWidth="1"/>
    <col min="11524" max="11524" width="7.5703125" customWidth="1"/>
    <col min="11525" max="11525" width="12.42578125" customWidth="1"/>
    <col min="11526" max="11527" width="10" customWidth="1"/>
    <col min="11528" max="11528" width="9.28515625" customWidth="1"/>
    <col min="11529" max="11529" width="9" customWidth="1"/>
    <col min="11530" max="11530" width="10.5703125" customWidth="1"/>
    <col min="11531" max="11533" width="0" hidden="1" customWidth="1"/>
    <col min="11534" max="11542" width="10.5703125" customWidth="1"/>
    <col min="11777" max="11777" width="1.5703125" customWidth="1"/>
    <col min="11778" max="11778" width="22.28515625" customWidth="1"/>
    <col min="11779" max="11779" width="6.42578125" customWidth="1"/>
    <col min="11780" max="11780" width="7.5703125" customWidth="1"/>
    <col min="11781" max="11781" width="12.42578125" customWidth="1"/>
    <col min="11782" max="11783" width="10" customWidth="1"/>
    <col min="11784" max="11784" width="9.28515625" customWidth="1"/>
    <col min="11785" max="11785" width="9" customWidth="1"/>
    <col min="11786" max="11786" width="10.5703125" customWidth="1"/>
    <col min="11787" max="11789" width="0" hidden="1" customWidth="1"/>
    <col min="11790" max="11798" width="10.5703125" customWidth="1"/>
    <col min="12033" max="12033" width="1.5703125" customWidth="1"/>
    <col min="12034" max="12034" width="22.28515625" customWidth="1"/>
    <col min="12035" max="12035" width="6.42578125" customWidth="1"/>
    <col min="12036" max="12036" width="7.5703125" customWidth="1"/>
    <col min="12037" max="12037" width="12.42578125" customWidth="1"/>
    <col min="12038" max="12039" width="10" customWidth="1"/>
    <col min="12040" max="12040" width="9.28515625" customWidth="1"/>
    <col min="12041" max="12041" width="9" customWidth="1"/>
    <col min="12042" max="12042" width="10.5703125" customWidth="1"/>
    <col min="12043" max="12045" width="0" hidden="1" customWidth="1"/>
    <col min="12046" max="12054" width="10.5703125" customWidth="1"/>
    <col min="12289" max="12289" width="1.5703125" customWidth="1"/>
    <col min="12290" max="12290" width="22.28515625" customWidth="1"/>
    <col min="12291" max="12291" width="6.42578125" customWidth="1"/>
    <col min="12292" max="12292" width="7.5703125" customWidth="1"/>
    <col min="12293" max="12293" width="12.42578125" customWidth="1"/>
    <col min="12294" max="12295" width="10" customWidth="1"/>
    <col min="12296" max="12296" width="9.28515625" customWidth="1"/>
    <col min="12297" max="12297" width="9" customWidth="1"/>
    <col min="12298" max="12298" width="10.5703125" customWidth="1"/>
    <col min="12299" max="12301" width="0" hidden="1" customWidth="1"/>
    <col min="12302" max="12310" width="10.5703125" customWidth="1"/>
    <col min="12545" max="12545" width="1.5703125" customWidth="1"/>
    <col min="12546" max="12546" width="22.28515625" customWidth="1"/>
    <col min="12547" max="12547" width="6.42578125" customWidth="1"/>
    <col min="12548" max="12548" width="7.5703125" customWidth="1"/>
    <col min="12549" max="12549" width="12.42578125" customWidth="1"/>
    <col min="12550" max="12551" width="10" customWidth="1"/>
    <col min="12552" max="12552" width="9.28515625" customWidth="1"/>
    <col min="12553" max="12553" width="9" customWidth="1"/>
    <col min="12554" max="12554" width="10.5703125" customWidth="1"/>
    <col min="12555" max="12557" width="0" hidden="1" customWidth="1"/>
    <col min="12558" max="12566" width="10.5703125" customWidth="1"/>
    <col min="12801" max="12801" width="1.5703125" customWidth="1"/>
    <col min="12802" max="12802" width="22.28515625" customWidth="1"/>
    <col min="12803" max="12803" width="6.42578125" customWidth="1"/>
    <col min="12804" max="12804" width="7.5703125" customWidth="1"/>
    <col min="12805" max="12805" width="12.42578125" customWidth="1"/>
    <col min="12806" max="12807" width="10" customWidth="1"/>
    <col min="12808" max="12808" width="9.28515625" customWidth="1"/>
    <col min="12809" max="12809" width="9" customWidth="1"/>
    <col min="12810" max="12810" width="10.5703125" customWidth="1"/>
    <col min="12811" max="12813" width="0" hidden="1" customWidth="1"/>
    <col min="12814" max="12822" width="10.5703125" customWidth="1"/>
    <col min="13057" max="13057" width="1.5703125" customWidth="1"/>
    <col min="13058" max="13058" width="22.28515625" customWidth="1"/>
    <col min="13059" max="13059" width="6.42578125" customWidth="1"/>
    <col min="13060" max="13060" width="7.5703125" customWidth="1"/>
    <col min="13061" max="13061" width="12.42578125" customWidth="1"/>
    <col min="13062" max="13063" width="10" customWidth="1"/>
    <col min="13064" max="13064" width="9.28515625" customWidth="1"/>
    <col min="13065" max="13065" width="9" customWidth="1"/>
    <col min="13066" max="13066" width="10.5703125" customWidth="1"/>
    <col min="13067" max="13069" width="0" hidden="1" customWidth="1"/>
    <col min="13070" max="13078" width="10.5703125" customWidth="1"/>
    <col min="13313" max="13313" width="1.5703125" customWidth="1"/>
    <col min="13314" max="13314" width="22.28515625" customWidth="1"/>
    <col min="13315" max="13315" width="6.42578125" customWidth="1"/>
    <col min="13316" max="13316" width="7.5703125" customWidth="1"/>
    <col min="13317" max="13317" width="12.42578125" customWidth="1"/>
    <col min="13318" max="13319" width="10" customWidth="1"/>
    <col min="13320" max="13320" width="9.28515625" customWidth="1"/>
    <col min="13321" max="13321" width="9" customWidth="1"/>
    <col min="13322" max="13322" width="10.5703125" customWidth="1"/>
    <col min="13323" max="13325" width="0" hidden="1" customWidth="1"/>
    <col min="13326" max="13334" width="10.5703125" customWidth="1"/>
    <col min="13569" max="13569" width="1.5703125" customWidth="1"/>
    <col min="13570" max="13570" width="22.28515625" customWidth="1"/>
    <col min="13571" max="13571" width="6.42578125" customWidth="1"/>
    <col min="13572" max="13572" width="7.5703125" customWidth="1"/>
    <col min="13573" max="13573" width="12.42578125" customWidth="1"/>
    <col min="13574" max="13575" width="10" customWidth="1"/>
    <col min="13576" max="13576" width="9.28515625" customWidth="1"/>
    <col min="13577" max="13577" width="9" customWidth="1"/>
    <col min="13578" max="13578" width="10.5703125" customWidth="1"/>
    <col min="13579" max="13581" width="0" hidden="1" customWidth="1"/>
    <col min="13582" max="13590" width="10.5703125" customWidth="1"/>
    <col min="13825" max="13825" width="1.5703125" customWidth="1"/>
    <col min="13826" max="13826" width="22.28515625" customWidth="1"/>
    <col min="13827" max="13827" width="6.42578125" customWidth="1"/>
    <col min="13828" max="13828" width="7.5703125" customWidth="1"/>
    <col min="13829" max="13829" width="12.42578125" customWidth="1"/>
    <col min="13830" max="13831" width="10" customWidth="1"/>
    <col min="13832" max="13832" width="9.28515625" customWidth="1"/>
    <col min="13833" max="13833" width="9" customWidth="1"/>
    <col min="13834" max="13834" width="10.5703125" customWidth="1"/>
    <col min="13835" max="13837" width="0" hidden="1" customWidth="1"/>
    <col min="13838" max="13846" width="10.5703125" customWidth="1"/>
    <col min="14081" max="14081" width="1.5703125" customWidth="1"/>
    <col min="14082" max="14082" width="22.28515625" customWidth="1"/>
    <col min="14083" max="14083" width="6.42578125" customWidth="1"/>
    <col min="14084" max="14084" width="7.5703125" customWidth="1"/>
    <col min="14085" max="14085" width="12.42578125" customWidth="1"/>
    <col min="14086" max="14087" width="10" customWidth="1"/>
    <col min="14088" max="14088" width="9.28515625" customWidth="1"/>
    <col min="14089" max="14089" width="9" customWidth="1"/>
    <col min="14090" max="14090" width="10.5703125" customWidth="1"/>
    <col min="14091" max="14093" width="0" hidden="1" customWidth="1"/>
    <col min="14094" max="14102" width="10.5703125" customWidth="1"/>
    <col min="14337" max="14337" width="1.5703125" customWidth="1"/>
    <col min="14338" max="14338" width="22.28515625" customWidth="1"/>
    <col min="14339" max="14339" width="6.42578125" customWidth="1"/>
    <col min="14340" max="14340" width="7.5703125" customWidth="1"/>
    <col min="14341" max="14341" width="12.42578125" customWidth="1"/>
    <col min="14342" max="14343" width="10" customWidth="1"/>
    <col min="14344" max="14344" width="9.28515625" customWidth="1"/>
    <col min="14345" max="14345" width="9" customWidth="1"/>
    <col min="14346" max="14346" width="10.5703125" customWidth="1"/>
    <col min="14347" max="14349" width="0" hidden="1" customWidth="1"/>
    <col min="14350" max="14358" width="10.5703125" customWidth="1"/>
    <col min="14593" max="14593" width="1.5703125" customWidth="1"/>
    <col min="14594" max="14594" width="22.28515625" customWidth="1"/>
    <col min="14595" max="14595" width="6.42578125" customWidth="1"/>
    <col min="14596" max="14596" width="7.5703125" customWidth="1"/>
    <col min="14597" max="14597" width="12.42578125" customWidth="1"/>
    <col min="14598" max="14599" width="10" customWidth="1"/>
    <col min="14600" max="14600" width="9.28515625" customWidth="1"/>
    <col min="14601" max="14601" width="9" customWidth="1"/>
    <col min="14602" max="14602" width="10.5703125" customWidth="1"/>
    <col min="14603" max="14605" width="0" hidden="1" customWidth="1"/>
    <col min="14606" max="14614" width="10.5703125" customWidth="1"/>
    <col min="14849" max="14849" width="1.5703125" customWidth="1"/>
    <col min="14850" max="14850" width="22.28515625" customWidth="1"/>
    <col min="14851" max="14851" width="6.42578125" customWidth="1"/>
    <col min="14852" max="14852" width="7.5703125" customWidth="1"/>
    <col min="14853" max="14853" width="12.42578125" customWidth="1"/>
    <col min="14854" max="14855" width="10" customWidth="1"/>
    <col min="14856" max="14856" width="9.28515625" customWidth="1"/>
    <col min="14857" max="14857" width="9" customWidth="1"/>
    <col min="14858" max="14858" width="10.5703125" customWidth="1"/>
    <col min="14859" max="14861" width="0" hidden="1" customWidth="1"/>
    <col min="14862" max="14870" width="10.5703125" customWidth="1"/>
    <col min="15105" max="15105" width="1.5703125" customWidth="1"/>
    <col min="15106" max="15106" width="22.28515625" customWidth="1"/>
    <col min="15107" max="15107" width="6.42578125" customWidth="1"/>
    <col min="15108" max="15108" width="7.5703125" customWidth="1"/>
    <col min="15109" max="15109" width="12.42578125" customWidth="1"/>
    <col min="15110" max="15111" width="10" customWidth="1"/>
    <col min="15112" max="15112" width="9.28515625" customWidth="1"/>
    <col min="15113" max="15113" width="9" customWidth="1"/>
    <col min="15114" max="15114" width="10.5703125" customWidth="1"/>
    <col min="15115" max="15117" width="0" hidden="1" customWidth="1"/>
    <col min="15118" max="15126" width="10.5703125" customWidth="1"/>
    <col min="15361" max="15361" width="1.5703125" customWidth="1"/>
    <col min="15362" max="15362" width="22.28515625" customWidth="1"/>
    <col min="15363" max="15363" width="6.42578125" customWidth="1"/>
    <col min="15364" max="15364" width="7.5703125" customWidth="1"/>
    <col min="15365" max="15365" width="12.42578125" customWidth="1"/>
    <col min="15366" max="15367" width="10" customWidth="1"/>
    <col min="15368" max="15368" width="9.28515625" customWidth="1"/>
    <col min="15369" max="15369" width="9" customWidth="1"/>
    <col min="15370" max="15370" width="10.5703125" customWidth="1"/>
    <col min="15371" max="15373" width="0" hidden="1" customWidth="1"/>
    <col min="15374" max="15382" width="10.5703125" customWidth="1"/>
    <col min="15617" max="15617" width="1.5703125" customWidth="1"/>
    <col min="15618" max="15618" width="22.28515625" customWidth="1"/>
    <col min="15619" max="15619" width="6.42578125" customWidth="1"/>
    <col min="15620" max="15620" width="7.5703125" customWidth="1"/>
    <col min="15621" max="15621" width="12.42578125" customWidth="1"/>
    <col min="15622" max="15623" width="10" customWidth="1"/>
    <col min="15624" max="15624" width="9.28515625" customWidth="1"/>
    <col min="15625" max="15625" width="9" customWidth="1"/>
    <col min="15626" max="15626" width="10.5703125" customWidth="1"/>
    <col min="15627" max="15629" width="0" hidden="1" customWidth="1"/>
    <col min="15630" max="15638" width="10.5703125" customWidth="1"/>
    <col min="15873" max="15873" width="1.5703125" customWidth="1"/>
    <col min="15874" max="15874" width="22.28515625" customWidth="1"/>
    <col min="15875" max="15875" width="6.42578125" customWidth="1"/>
    <col min="15876" max="15876" width="7.5703125" customWidth="1"/>
    <col min="15877" max="15877" width="12.42578125" customWidth="1"/>
    <col min="15878" max="15879" width="10" customWidth="1"/>
    <col min="15880" max="15880" width="9.28515625" customWidth="1"/>
    <col min="15881" max="15881" width="9" customWidth="1"/>
    <col min="15882" max="15882" width="10.5703125" customWidth="1"/>
    <col min="15883" max="15885" width="0" hidden="1" customWidth="1"/>
    <col min="15886" max="15894" width="10.5703125" customWidth="1"/>
    <col min="16129" max="16129" width="1.5703125" customWidth="1"/>
    <col min="16130" max="16130" width="22.28515625" customWidth="1"/>
    <col min="16131" max="16131" width="6.42578125" customWidth="1"/>
    <col min="16132" max="16132" width="7.5703125" customWidth="1"/>
    <col min="16133" max="16133" width="12.42578125" customWidth="1"/>
    <col min="16134" max="16135" width="10" customWidth="1"/>
    <col min="16136" max="16136" width="9.28515625" customWidth="1"/>
    <col min="16137" max="16137" width="9" customWidth="1"/>
    <col min="16138" max="16138" width="10.5703125" customWidth="1"/>
    <col min="16139" max="16141" width="0" hidden="1" customWidth="1"/>
    <col min="16142" max="16150" width="10.5703125" customWidth="1"/>
  </cols>
  <sheetData>
    <row r="1" spans="1:19" ht="27" customHeight="1" x14ac:dyDescent="0.25"/>
    <row r="2" spans="1:19" ht="27" customHeight="1" x14ac:dyDescent="0.25"/>
    <row r="3" spans="1:19" ht="27" customHeight="1" x14ac:dyDescent="0.25">
      <c r="Q3" s="298" t="e">
        <f>IF(C23=Q5,"OK","Error")</f>
        <v>#N/A</v>
      </c>
      <c r="R3" s="298"/>
      <c r="S3" s="298"/>
    </row>
    <row r="4" spans="1:19" ht="27" customHeight="1" thickBot="1" x14ac:dyDescent="0.4">
      <c r="B4" s="390" t="s">
        <v>67</v>
      </c>
      <c r="C4" s="390"/>
      <c r="D4" s="390"/>
      <c r="E4" s="390"/>
      <c r="F4" s="390"/>
      <c r="G4" s="390"/>
      <c r="H4" s="390"/>
      <c r="I4" s="390"/>
      <c r="J4" s="390"/>
      <c r="Q4" s="299"/>
      <c r="R4" s="299"/>
      <c r="S4" s="299"/>
    </row>
    <row r="5" spans="1:19" ht="20.25" x14ac:dyDescent="0.3">
      <c r="G5" s="81" t="s">
        <v>68</v>
      </c>
      <c r="Q5" s="300" t="e">
        <f>J22/F22</f>
        <v>#REF!</v>
      </c>
      <c r="R5" s="301"/>
      <c r="S5" s="302"/>
    </row>
    <row r="6" spans="1:19" ht="27" customHeight="1" x14ac:dyDescent="0.3">
      <c r="B6" s="391" t="s">
        <v>69</v>
      </c>
      <c r="C6" s="391"/>
      <c r="D6" s="391"/>
      <c r="E6" s="391"/>
      <c r="F6" s="391"/>
      <c r="G6" s="391"/>
      <c r="H6" s="391"/>
      <c r="I6" s="391"/>
      <c r="J6" s="391"/>
      <c r="K6" s="82"/>
      <c r="Q6" s="303"/>
      <c r="R6" s="304"/>
      <c r="S6" s="305"/>
    </row>
    <row r="7" spans="1:19" ht="27" customHeight="1" thickBot="1" x14ac:dyDescent="0.35">
      <c r="B7" s="391" t="s">
        <v>89</v>
      </c>
      <c r="C7" s="391"/>
      <c r="D7" s="391"/>
      <c r="E7" s="391"/>
      <c r="F7" s="391"/>
      <c r="G7" s="391"/>
      <c r="H7" s="391"/>
      <c r="I7" s="391"/>
      <c r="J7" s="391"/>
      <c r="K7" s="82"/>
      <c r="Q7" s="303"/>
      <c r="R7" s="304"/>
      <c r="S7" s="305"/>
    </row>
    <row r="8" spans="1:19" ht="27" hidden="1" customHeight="1" thickBot="1" x14ac:dyDescent="0.35">
      <c r="B8" s="391" t="e">
        <f>#REF!</f>
        <v>#REF!</v>
      </c>
      <c r="C8" s="391"/>
      <c r="D8" s="391"/>
      <c r="E8" s="391"/>
      <c r="F8" s="391"/>
      <c r="G8" s="391"/>
      <c r="H8" s="391"/>
      <c r="I8" s="391"/>
      <c r="J8" s="391"/>
      <c r="K8" s="82"/>
      <c r="Q8" s="303"/>
      <c r="R8" s="304"/>
      <c r="S8" s="305"/>
    </row>
    <row r="9" spans="1:19" ht="23.25" hidden="1" thickBot="1" x14ac:dyDescent="0.35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Q9" s="303"/>
      <c r="R9" s="304"/>
      <c r="S9" s="305"/>
    </row>
    <row r="10" spans="1:19" ht="42" customHeight="1" thickBot="1" x14ac:dyDescent="0.3">
      <c r="A10" s="84"/>
      <c r="B10" s="95" t="s">
        <v>70</v>
      </c>
      <c r="C10" s="392">
        <v>1901</v>
      </c>
      <c r="D10" s="392"/>
      <c r="E10" s="392"/>
      <c r="F10" s="393" t="s">
        <v>71</v>
      </c>
      <c r="G10" s="393"/>
      <c r="H10" s="392" t="e">
        <f>UPPER(VLOOKUP($C$10,#REF!,2,FALSE))</f>
        <v>#REF!</v>
      </c>
      <c r="I10" s="392"/>
      <c r="J10" s="394"/>
      <c r="Q10" s="306"/>
      <c r="R10" s="307"/>
      <c r="S10" s="308"/>
    </row>
    <row r="11" spans="1:19" ht="42" customHeight="1" x14ac:dyDescent="0.25">
      <c r="A11" s="85"/>
      <c r="B11" s="97" t="s">
        <v>72</v>
      </c>
      <c r="C11" s="361" t="e">
        <f>PROPER(VLOOKUP($C$10,#REF!,3,FALSE))</f>
        <v>#REF!</v>
      </c>
      <c r="D11" s="361"/>
      <c r="E11" s="361"/>
      <c r="F11" s="362" t="s">
        <v>73</v>
      </c>
      <c r="G11" s="362"/>
      <c r="H11" s="361" t="e">
        <f>PROPER(VLOOKUP($C$10,#REF!,4,FALSE))</f>
        <v>#REF!</v>
      </c>
      <c r="I11" s="361"/>
      <c r="J11" s="363"/>
    </row>
    <row r="12" spans="1:19" ht="42" customHeight="1" thickBot="1" x14ac:dyDescent="0.3">
      <c r="A12" s="85"/>
      <c r="B12" s="96" t="s">
        <v>25</v>
      </c>
      <c r="C12" s="387" t="e">
        <f>#REF!</f>
        <v>#REF!</v>
      </c>
      <c r="D12" s="387"/>
      <c r="E12" s="387"/>
      <c r="F12" s="388" t="s">
        <v>22</v>
      </c>
      <c r="G12" s="388"/>
      <c r="H12" s="387" t="e">
        <f>#REF!</f>
        <v>#REF!</v>
      </c>
      <c r="I12" s="387"/>
      <c r="J12" s="389"/>
    </row>
    <row r="13" spans="1:19" ht="16.5" thickBot="1" x14ac:dyDescent="0.3">
      <c r="A13" s="85"/>
      <c r="B13" s="85"/>
      <c r="C13" s="85"/>
      <c r="D13" s="85"/>
      <c r="E13" s="85"/>
      <c r="F13" s="80"/>
      <c r="G13" s="80"/>
    </row>
    <row r="14" spans="1:19" x14ac:dyDescent="0.25">
      <c r="B14" s="364" t="s">
        <v>74</v>
      </c>
      <c r="C14" s="365"/>
      <c r="D14" s="365"/>
      <c r="E14" s="366"/>
      <c r="F14" s="370" t="s">
        <v>75</v>
      </c>
      <c r="G14" s="370" t="s">
        <v>12</v>
      </c>
      <c r="H14" s="370" t="s">
        <v>7</v>
      </c>
      <c r="I14" s="372" t="s">
        <v>76</v>
      </c>
      <c r="J14" s="93" t="s">
        <v>77</v>
      </c>
    </row>
    <row r="15" spans="1:19" ht="21" customHeight="1" thickBot="1" x14ac:dyDescent="0.3">
      <c r="B15" s="367"/>
      <c r="C15" s="368"/>
      <c r="D15" s="368"/>
      <c r="E15" s="369"/>
      <c r="F15" s="371"/>
      <c r="G15" s="371"/>
      <c r="H15" s="371"/>
      <c r="I15" s="373"/>
      <c r="J15" s="94" t="s">
        <v>78</v>
      </c>
    </row>
    <row r="16" spans="1:19" ht="36.75" customHeight="1" x14ac:dyDescent="0.25">
      <c r="B16" s="395" t="e">
        <f>#REF!</f>
        <v>#REF!</v>
      </c>
      <c r="C16" s="396"/>
      <c r="D16" s="396"/>
      <c r="E16" s="397"/>
      <c r="F16" s="101" t="e">
        <f>#REF!</f>
        <v>#REF!</v>
      </c>
      <c r="G16" s="102" t="e">
        <f>VLOOKUP($C$10,'sheet 1'!#REF!,134,FALSE)</f>
        <v>#REF!</v>
      </c>
      <c r="H16" s="101" t="e">
        <f t="shared" ref="H16:H21" si="0">IF(G16&gt;89.99,"A+",IF(G16&gt;79.99,"A",IF(G16&gt;74.99,"B+",IF(G16&gt;69.99,"B",IF(G16&gt;64.99,"C+",IF(G16&gt;59.99,"C",IF(G16&gt;54.99,"D+",IF(G16&gt;49.99,"D","F"))))))))</f>
        <v>#REF!</v>
      </c>
      <c r="I16" s="102" t="e">
        <f t="shared" ref="I16:I21" si="1">IF(G16&gt;79.99,4,IF(G16&gt;74.99,G16/10-4,IF(G16&gt;69.99,G16/10-4,IF(G16&gt;64.99,G16/10-4,IF(G16&gt;59.99,G16/10-4,IF(G16&gt;54.99,G16/10-4,IF(G16&gt;49.99,G16/10-4,"0.00")))))))</f>
        <v>#REF!</v>
      </c>
      <c r="J16" s="103" t="e">
        <f t="shared" ref="J16:J21" si="2">F16*I16</f>
        <v>#REF!</v>
      </c>
    </row>
    <row r="17" spans="1:17" ht="36.75" customHeight="1" x14ac:dyDescent="0.25">
      <c r="B17" s="377" t="e">
        <f>#REF!</f>
        <v>#REF!</v>
      </c>
      <c r="C17" s="378"/>
      <c r="D17" s="378"/>
      <c r="E17" s="379"/>
      <c r="F17" s="104" t="e">
        <f>#REF!</f>
        <v>#REF!</v>
      </c>
      <c r="G17" s="105" t="e">
        <f>VLOOKUP($C$10,'sheet 1'!#REF!,138,FALSE)</f>
        <v>#REF!</v>
      </c>
      <c r="H17" s="104" t="e">
        <f t="shared" si="0"/>
        <v>#REF!</v>
      </c>
      <c r="I17" s="105" t="e">
        <f t="shared" si="1"/>
        <v>#REF!</v>
      </c>
      <c r="J17" s="106" t="e">
        <f t="shared" si="2"/>
        <v>#REF!</v>
      </c>
    </row>
    <row r="18" spans="1:17" ht="36.75" customHeight="1" x14ac:dyDescent="0.25">
      <c r="B18" s="377" t="e">
        <f>#REF!</f>
        <v>#REF!</v>
      </c>
      <c r="C18" s="378"/>
      <c r="D18" s="378"/>
      <c r="E18" s="379"/>
      <c r="F18" s="104" t="e">
        <f>#REF!</f>
        <v>#REF!</v>
      </c>
      <c r="G18" s="105" t="e">
        <f>VLOOKUP($C$10,'sheet 1'!#REF!,142,FALSE)</f>
        <v>#REF!</v>
      </c>
      <c r="H18" s="104" t="e">
        <f t="shared" si="0"/>
        <v>#REF!</v>
      </c>
      <c r="I18" s="105" t="e">
        <f t="shared" si="1"/>
        <v>#REF!</v>
      </c>
      <c r="J18" s="106" t="e">
        <f t="shared" si="2"/>
        <v>#REF!</v>
      </c>
    </row>
    <row r="19" spans="1:17" ht="36.75" customHeight="1" x14ac:dyDescent="0.25">
      <c r="B19" s="377" t="e">
        <f>#REF!</f>
        <v>#REF!</v>
      </c>
      <c r="C19" s="378"/>
      <c r="D19" s="378"/>
      <c r="E19" s="379"/>
      <c r="F19" s="104" t="e">
        <f>#REF!</f>
        <v>#REF!</v>
      </c>
      <c r="G19" s="105" t="e">
        <f>VLOOKUP($C$10,'sheet 1'!#REF!,146,FALSE)</f>
        <v>#REF!</v>
      </c>
      <c r="H19" s="104" t="e">
        <f t="shared" si="0"/>
        <v>#REF!</v>
      </c>
      <c r="I19" s="105" t="e">
        <f t="shared" si="1"/>
        <v>#REF!</v>
      </c>
      <c r="J19" s="106" t="e">
        <f t="shared" si="2"/>
        <v>#REF!</v>
      </c>
    </row>
    <row r="20" spans="1:17" ht="36.75" customHeight="1" thickBot="1" x14ac:dyDescent="0.3">
      <c r="B20" s="358" t="e">
        <f>#REF!</f>
        <v>#REF!</v>
      </c>
      <c r="C20" s="359"/>
      <c r="D20" s="359"/>
      <c r="E20" s="360"/>
      <c r="F20" s="107" t="e">
        <f>#REF!</f>
        <v>#REF!</v>
      </c>
      <c r="G20" s="108" t="e">
        <f>VLOOKUP($C$10,'sheet 1'!#REF!,150,FALSE)</f>
        <v>#REF!</v>
      </c>
      <c r="H20" s="107" t="e">
        <f t="shared" si="0"/>
        <v>#REF!</v>
      </c>
      <c r="I20" s="108" t="e">
        <f t="shared" si="1"/>
        <v>#REF!</v>
      </c>
      <c r="J20" s="109" t="e">
        <f t="shared" si="2"/>
        <v>#REF!</v>
      </c>
    </row>
    <row r="21" spans="1:17" ht="36.75" hidden="1" customHeight="1" thickBot="1" x14ac:dyDescent="0.3">
      <c r="B21" s="374" t="e">
        <f>#REF!</f>
        <v>#REF!</v>
      </c>
      <c r="C21" s="375"/>
      <c r="D21" s="375"/>
      <c r="E21" s="376"/>
      <c r="F21" s="110" t="e">
        <f>#REF!</f>
        <v>#REF!</v>
      </c>
      <c r="G21" s="113"/>
      <c r="H21" s="114" t="str">
        <f t="shared" si="0"/>
        <v>F</v>
      </c>
      <c r="I21" s="113" t="str">
        <f t="shared" si="1"/>
        <v>0.00</v>
      </c>
      <c r="J21" s="115" t="e">
        <f t="shared" si="2"/>
        <v>#REF!</v>
      </c>
    </row>
    <row r="22" spans="1:17" ht="15.75" thickBot="1" x14ac:dyDescent="0.3">
      <c r="F22" s="86" t="e">
        <f>SUM(F16:F21)</f>
        <v>#REF!</v>
      </c>
      <c r="J22" s="86" t="e">
        <f>SUM(J16:J21)</f>
        <v>#REF!</v>
      </c>
    </row>
    <row r="23" spans="1:17" ht="22.5" customHeight="1" x14ac:dyDescent="0.25">
      <c r="A23" t="s">
        <v>79</v>
      </c>
      <c r="B23" s="87" t="s">
        <v>87</v>
      </c>
      <c r="C23" s="380" t="e">
        <f>VLOOKUP($C$10,'N4'!$B$10:$O$160,10,FALSE)</f>
        <v>#N/A</v>
      </c>
      <c r="D23" s="381"/>
      <c r="L23" s="88" t="e">
        <f>SUM(G15:G21)</f>
        <v>#REF!</v>
      </c>
      <c r="Q23" s="89"/>
    </row>
    <row r="24" spans="1:17" ht="22.5" customHeight="1" x14ac:dyDescent="0.25">
      <c r="B24" s="98" t="s">
        <v>6</v>
      </c>
      <c r="C24" s="382" t="e">
        <f>VLOOKUP($C$10,'N4'!$B$10:$O$160,10,FALSE)</f>
        <v>#N/A</v>
      </c>
      <c r="D24" s="383"/>
    </row>
    <row r="25" spans="1:17" ht="22.5" customHeight="1" x14ac:dyDescent="0.25">
      <c r="B25" s="90" t="s">
        <v>7</v>
      </c>
      <c r="C25" s="382" t="e">
        <f>IF(C24&gt;3.99,"A",IF(C24&gt;3.49,"B+",IF(C24&gt;2.99,"B",IF(C24&gt;2.49,"C+",IF(C24&gt;1.99,"C",IF(C24&gt;1.49,"D+",IF(C24&gt;0.99,"D","F")))))))</f>
        <v>#N/A</v>
      </c>
      <c r="D25" s="383"/>
      <c r="L25" s="91">
        <f>SUM(C15:C21)</f>
        <v>0</v>
      </c>
    </row>
    <row r="26" spans="1:17" ht="22.5" customHeight="1" x14ac:dyDescent="0.25">
      <c r="B26" s="90" t="s">
        <v>3</v>
      </c>
      <c r="C26" s="382" t="e">
        <f>IF(C24&gt;3.99,"Excellent",IF(C24&gt;3.49,"Very Good",IF(C24&gt;2.99,"Good",IF(C24&gt;2.49,"Fair",IF(C24&gt;1.99,"Fair",IF(C24&gt;1.49,"Pass (Probation)",IF(C24&gt;0.99,"Pass (Probation)","Fail")))))))</f>
        <v>#N/A</v>
      </c>
      <c r="D26" s="383"/>
    </row>
    <row r="27" spans="1:17" ht="22.5" customHeight="1" thickBot="1" x14ac:dyDescent="0.35">
      <c r="B27" s="92" t="s">
        <v>81</v>
      </c>
      <c r="C27" s="384">
        <f>'N4'!L5</f>
        <v>0</v>
      </c>
      <c r="D27" s="385"/>
      <c r="G27" s="99" t="s">
        <v>61</v>
      </c>
    </row>
    <row r="28" spans="1:17" ht="18.75" x14ac:dyDescent="0.25">
      <c r="B28" s="386" t="s">
        <v>82</v>
      </c>
      <c r="C28" s="386"/>
      <c r="D28" s="386"/>
      <c r="G28" s="100" t="s">
        <v>4</v>
      </c>
    </row>
    <row r="29" spans="1:17" ht="15.75" x14ac:dyDescent="0.25">
      <c r="G29" s="79"/>
    </row>
  </sheetData>
  <mergeCells count="32">
    <mergeCell ref="C25:D25"/>
    <mergeCell ref="C26:D26"/>
    <mergeCell ref="C24:D24"/>
    <mergeCell ref="C27:D27"/>
    <mergeCell ref="B28:D28"/>
    <mergeCell ref="C23:D23"/>
    <mergeCell ref="B14:E15"/>
    <mergeCell ref="F14:F15"/>
    <mergeCell ref="G14:G15"/>
    <mergeCell ref="H14:H15"/>
    <mergeCell ref="B17:E17"/>
    <mergeCell ref="B18:E18"/>
    <mergeCell ref="B19:E19"/>
    <mergeCell ref="B20:E20"/>
    <mergeCell ref="B21:E21"/>
    <mergeCell ref="I14:I15"/>
    <mergeCell ref="B16:E16"/>
    <mergeCell ref="C11:E11"/>
    <mergeCell ref="F11:G11"/>
    <mergeCell ref="H11:J11"/>
    <mergeCell ref="C12:E12"/>
    <mergeCell ref="F12:G12"/>
    <mergeCell ref="H12:J12"/>
    <mergeCell ref="Q3:S4"/>
    <mergeCell ref="B4:J4"/>
    <mergeCell ref="Q5:S10"/>
    <mergeCell ref="B6:J6"/>
    <mergeCell ref="B7:J7"/>
    <mergeCell ref="B8:J8"/>
    <mergeCell ref="C10:E10"/>
    <mergeCell ref="F10:G10"/>
    <mergeCell ref="H10:J10"/>
  </mergeCells>
  <conditionalFormatting sqref="G16:G21">
    <cfRule type="cellIs" dxfId="1" priority="2" stopIfTrue="1" operator="lessThan">
      <formula>50</formula>
    </cfRule>
  </conditionalFormatting>
  <conditionalFormatting sqref="H16:H21">
    <cfRule type="containsText" dxfId="0" priority="1" stopIfTrue="1" operator="containsText" text="F">
      <formula>NOT(ISERROR(SEARCH("F",H16)))</formula>
    </cfRule>
  </conditionalFormatting>
  <printOptions horizontalCentered="1"/>
  <pageMargins left="0.19685039370078741" right="0.19685039370078741" top="0.27559055118110237" bottom="0.19685039370078741" header="0.31496062992125984" footer="0.31496062992125984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40</vt:i4>
      </vt:variant>
    </vt:vector>
  </HeadingPairs>
  <TitlesOfParts>
    <vt:vector size="80" baseType="lpstr">
      <vt:lpstr>sheet 1</vt:lpstr>
      <vt:lpstr>Transcript</vt:lpstr>
      <vt:lpstr>1.5 Transcript</vt:lpstr>
      <vt:lpstr>1.5 Transcript (2)</vt:lpstr>
      <vt:lpstr>19</vt:lpstr>
      <vt:lpstr>06</vt:lpstr>
      <vt:lpstr>67</vt:lpstr>
      <vt:lpstr>112</vt:lpstr>
      <vt:lpstr>35</vt:lpstr>
      <vt:lpstr>135</vt:lpstr>
      <vt:lpstr>123</vt:lpstr>
      <vt:lpstr>29</vt:lpstr>
      <vt:lpstr>17</vt:lpstr>
      <vt:lpstr>3</vt:lpstr>
      <vt:lpstr>54</vt:lpstr>
      <vt:lpstr>30</vt:lpstr>
      <vt:lpstr>01</vt:lpstr>
      <vt:lpstr>44</vt:lpstr>
      <vt:lpstr>116</vt:lpstr>
      <vt:lpstr>11</vt:lpstr>
      <vt:lpstr>13</vt:lpstr>
      <vt:lpstr>70</vt:lpstr>
      <vt:lpstr>28</vt:lpstr>
      <vt:lpstr>95</vt:lpstr>
      <vt:lpstr>7</vt:lpstr>
      <vt:lpstr>64</vt:lpstr>
      <vt:lpstr>79</vt:lpstr>
      <vt:lpstr>62</vt:lpstr>
      <vt:lpstr>84</vt:lpstr>
      <vt:lpstr>63</vt:lpstr>
      <vt:lpstr>26</vt:lpstr>
      <vt:lpstr>140</vt:lpstr>
      <vt:lpstr>139</vt:lpstr>
      <vt:lpstr>27</vt:lpstr>
      <vt:lpstr>N4</vt:lpstr>
      <vt:lpstr>RC 4</vt:lpstr>
      <vt:lpstr>DMC 1st</vt:lpstr>
      <vt:lpstr>DMC 2nd</vt:lpstr>
      <vt:lpstr>DMC 3rd</vt:lpstr>
      <vt:lpstr>DMC 4th</vt:lpstr>
      <vt:lpstr>'01'!Print_Area</vt:lpstr>
      <vt:lpstr>'06'!Print_Area</vt:lpstr>
      <vt:lpstr>'1.5 Transcript'!Print_Area</vt:lpstr>
      <vt:lpstr>'1.5 Transcript (2)'!Print_Area</vt:lpstr>
      <vt:lpstr>'11'!Print_Area</vt:lpstr>
      <vt:lpstr>'112'!Print_Area</vt:lpstr>
      <vt:lpstr>'116'!Print_Area</vt:lpstr>
      <vt:lpstr>'123'!Print_Area</vt:lpstr>
      <vt:lpstr>'13'!Print_Area</vt:lpstr>
      <vt:lpstr>'135'!Print_Area</vt:lpstr>
      <vt:lpstr>'139'!Print_Area</vt:lpstr>
      <vt:lpstr>'140'!Print_Area</vt:lpstr>
      <vt:lpstr>'17'!Print_Area</vt:lpstr>
      <vt:lpstr>'19'!Print_Area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'35'!Print_Area</vt:lpstr>
      <vt:lpstr>'44'!Print_Area</vt:lpstr>
      <vt:lpstr>'54'!Print_Area</vt:lpstr>
      <vt:lpstr>'62'!Print_Area</vt:lpstr>
      <vt:lpstr>'63'!Print_Area</vt:lpstr>
      <vt:lpstr>'64'!Print_Area</vt:lpstr>
      <vt:lpstr>'67'!Print_Area</vt:lpstr>
      <vt:lpstr>'7'!Print_Area</vt:lpstr>
      <vt:lpstr>'70'!Print_Area</vt:lpstr>
      <vt:lpstr>'79'!Print_Area</vt:lpstr>
      <vt:lpstr>'84'!Print_Area</vt:lpstr>
      <vt:lpstr>'95'!Print_Area</vt:lpstr>
      <vt:lpstr>'DMC 1st'!Print_Area</vt:lpstr>
      <vt:lpstr>'DMC 2nd'!Print_Area</vt:lpstr>
      <vt:lpstr>'DMC 3rd'!Print_Area</vt:lpstr>
      <vt:lpstr>'DMC 4th'!Print_Area</vt:lpstr>
      <vt:lpstr>'N4'!Print_Area</vt:lpstr>
      <vt:lpstr>Transcript!Print_Area</vt:lpstr>
      <vt:lpstr>'N4'!Print_Titles</vt:lpstr>
      <vt:lpstr>'sheet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hppavilion</dc:creator>
  <cp:lastModifiedBy>Exam</cp:lastModifiedBy>
  <cp:lastPrinted>2025-12-29T09:34:02Z</cp:lastPrinted>
  <dcterms:created xsi:type="dcterms:W3CDTF">2013-11-04T09:01:42Z</dcterms:created>
  <dcterms:modified xsi:type="dcterms:W3CDTF">2026-01-20T09:11:25Z</dcterms:modified>
</cp:coreProperties>
</file>